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UMEN" sheetId="1" state="visible" r:id="rId3"/>
    <sheet name="ESTADO DEL ARTE" sheetId="2" state="visible" r:id="rId4"/>
    <sheet name="MARCO TEORICO" sheetId="3" state="visible" r:id="rId5"/>
    <sheet name="OBJETIVOS"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<sst xmlns="http://schemas.openxmlformats.org/spreadsheetml/2006/main" count="534" uniqueCount="336">
  <si>
    <t xml:space="preserve">RESUMEN DEL ESTADO DEL ARTE</t>
  </si>
  <si>
    <t xml:space="preserve">Total de referentes</t>
  </si>
  <si>
    <t xml:space="preserve">Referentes verificados</t>
  </si>
  <si>
    <t xml:space="preserve">Referentes pendientes de verificar</t>
  </si>
  <si>
    <t xml:space="preserve">Referentes con OE1</t>
  </si>
  <si>
    <t xml:space="preserve">Referentes con OE2</t>
  </si>
  <si>
    <t xml:space="preserve">Referentes con OE3</t>
  </si>
  <si>
    <t xml:space="preserve">Referentes de marco general</t>
  </si>
  <si>
    <t xml:space="preserve">ESTADO DEL ARTE — Detección y exclusión de variables circulares en modelos de ingreso a UCI (log de eventos)</t>
  </si>
  <si>
    <t xml:space="preserve">#</t>
  </si>
  <si>
    <t xml:space="preserve">Año</t>
  </si>
  <si>
    <t xml:space="preserve">Título</t>
  </si>
  <si>
    <t xml:space="preserve">Revista / editorial</t>
  </si>
  <si>
    <t xml:space="preserve">DOI / link</t>
  </si>
  <si>
    <t xml:space="preserve">País (autor/estudio)</t>
  </si>
  <si>
    <t xml:space="preserve">Autor (1º)</t>
  </si>
  <si>
    <t xml:space="preserve">Tema</t>
  </si>
  <si>
    <t xml:space="preserve">OE relacionado</t>
  </si>
  <si>
    <t xml:space="preserve">Aporte a la investigación</t>
  </si>
  <si>
    <t xml:space="preserve">Verificado (Sí/No)</t>
  </si>
  <si>
    <t xml:space="preserve">Analyzing the trajectories of patients with sepsis using process mining</t>
  </si>
  <si>
    <t xml:space="preserve">CEUR Workshop Proceedings, vol. 1859 (RADAR+EMISA 2017), pp. 72–80</t>
  </si>
  <si>
    <t xml:space="preserve">Analyzing the trajectories of patients with sepsis using process mining - Research portal Eindhoven University of Technology</t>
  </si>
  <si>
    <t xml:space="preserve">Países Bajos</t>
  </si>
  <si>
    <t xml:space="preserve">Mannhardt, F. y Blinde, D.</t>
  </si>
  <si>
    <t xml:space="preserve">Minería de procesos</t>
  </si>
  <si>
    <t xml:space="preserve">OE1</t>
  </si>
  <si>
    <t xml:space="preserve">1) Aplica minería de procesos a trayectorias de pacientes con sepsis, en el mismo tipo de log que usa el proyecto.
2) Antecedente directo de OE1: muestra cómo leer el orden de actividades en un caso clínico.
3) Justifica el uso de este log como caso de estudio clínico.</t>
  </si>
  <si>
    <t xml:space="preserve">Sí</t>
  </si>
  <si>
    <t xml:space="preserve">Business process analysis in healthcare environments: A methodology based on process mining</t>
  </si>
  <si>
    <t xml:space="preserve">Information Systems (ScienceDirect)</t>
  </si>
  <si>
    <t xml:space="preserve">Business process analysis in healthcare environments: A methodology based on process mining - ScienceDirect</t>
  </si>
  <si>
    <t xml:space="preserve">Portugal</t>
  </si>
  <si>
    <t xml:space="preserve">Rebuge, Á. y Ferreira, D. R.</t>
  </si>
  <si>
    <t xml:space="preserve">1) Propone una metodología de análisis de procesos de negocio en salud basada en minería de procesos.
2) Sustenta la fase de análisis de proceso del protocolo (business process analysis).
3) Aporta criterios para delimitar el proceso antes de medir. [Basado en título; verificar al leer.]</t>
  </si>
  <si>
    <t xml:space="preserve">Process mining applications in healthcare: a systematic literature review</t>
  </si>
  <si>
    <t xml:space="preserve">PeerJ Computer Science</t>
  </si>
  <si>
    <t xml:space="preserve">https://peerj.com/articles/cs-2613/</t>
  </si>
  <si>
    <t xml:space="preserve">Aversano, L., Iammarino, M. y Madau, A.</t>
  </si>
  <si>
    <t xml:space="preserve">Marco general</t>
  </si>
  <si>
    <t xml:space="preserve">1) Revisión sistemática de aplicaciones de minería de procesos en salud.
2) Permite ubicar el proyecto frente a usos documentados del método.
3) Insumo para el bloque de minería de procesos del estado del arte.</t>
  </si>
  <si>
    <t xml:space="preserve">Process Mining in Healthcare: A Case Study</t>
  </si>
  <si>
    <t xml:space="preserve">Por verificar (publicación indexada en ResearchGate)</t>
  </si>
  <si>
    <t xml:space="preserve">(PDF) Process Mining in Healthcare - A Case Study.</t>
  </si>
  <si>
    <t xml:space="preserve">Mans, R. S., Schonenberg, M. H., Song, M. y van der Aalst, W. M. P.</t>
  </si>
  <si>
    <t xml:space="preserve">1) Caso de estudio con minería de procesos en un hospital académico.
2) Antecedente metodológico para analizar trazas clínicas.
3) Referencia de contexto hospitalario del método. [Verificar al leer.]</t>
  </si>
  <si>
    <t xml:space="preserve">AI-Driven Business Process Mining for Healthcare: Automated Discovery and Optimization of Clinical and Administrative Workflows</t>
  </si>
  <si>
    <t xml:space="preserve">Por verificar (ResearchGate)</t>
  </si>
  <si>
    <t xml:space="preserve">https://www.researchgate.net/publication/402032002</t>
  </si>
  <si>
    <t xml:space="preserve">Estados Unidos</t>
  </si>
  <si>
    <t xml:space="preserve">Ejoh, C. I., Odeyinka, T. E., Nduka, W. O., Ejiofor, V. O. y Henry, O.</t>
  </si>
  <si>
    <t xml:space="preserve">1) Combina minería de procesos con IA para descubrir flujos clínicos y administrativos.
2) Referencia para discutir la integración de ML y minería de procesos (enfoque general del proyecto).
3) Requiere revisión de rigor metodológico antes de citar; el estado de revisión por pares no está confirmado.</t>
  </si>
  <si>
    <t xml:space="preserve">Combining Process Mining and Process Simulation in Healthcare: A Literature Review</t>
  </si>
  <si>
    <t xml:space="preserve">IEEE (Por verificar)</t>
  </si>
  <si>
    <t xml:space="preserve">Combining Process Mining and Process Simulation in Healthcare: A Literature Review | IEEE Journals &amp; Magazine | IEEE Xplore</t>
  </si>
  <si>
    <t xml:space="preserve">Costa Rica</t>
  </si>
  <si>
    <t xml:space="preserve">Salas, E., Arias, M., Aguirre, S. y Rojas, E.</t>
  </si>
  <si>
    <t xml:space="preserve">Datos sintéticos</t>
  </si>
  <si>
    <t xml:space="preserve">1) Revisión de la combinación de minería de procesos y simulación en salud.
2) Sustenta la discusión sobre datos sintéticos en OE3.
3) Puede ayudar a justificar la validación con datos simulados como complemento, no como sustituto, de datos reales.</t>
  </si>
  <si>
    <t xml:space="preserve">Evaluation of operational process variables in healthcare using process mining and data visualization techniques</t>
  </si>
  <si>
    <t xml:space="preserve">LACCEI 2019 (Montego Bay)</t>
  </si>
  <si>
    <t xml:space="preserve">https://laccei.org/LACCEI2019-MontegoBay/full_papers/FP286.pdf</t>
  </si>
  <si>
    <t xml:space="preserve">Perú</t>
  </si>
  <si>
    <t xml:space="preserve">Armas Aguirre, J., Coronado Torres, A., Evangelista Pescoran, M. y Aguirre Mayorga, S.</t>
  </si>
  <si>
    <t xml:space="preserve">1) Aplica minería de procesos a variables operativas de un contexto de salud.
2) Muestra el método en contexto latinoamericano.
3) Referencia de visualización de variables de proceso para presentar resultados.</t>
  </si>
  <si>
    <t xml:space="preserve">Analogize process mining techniques in healthcare: Sepsis case study</t>
  </si>
  <si>
    <t xml:space="preserve">IEEE (2017)</t>
  </si>
  <si>
    <t xml:space="preserve">https://ieeexplore.ieee.org/abstract/document/8269727</t>
  </si>
  <si>
    <t xml:space="preserve">India</t>
  </si>
  <si>
    <t xml:space="preserve">Krukeja, G. y Batra, S.</t>
  </si>
  <si>
    <t xml:space="preserve">Sepsis / contexto clínico</t>
  </si>
  <si>
    <t xml:space="preserve">1) Compara técnicas de minería de procesos en un caso de sepsis.
2) Antecedente para elegir el algoritmo de descubrimiento en OE1 y OE2.
3) Permite contrastar resultados con el log del proyecto.</t>
  </si>
  <si>
    <t xml:space="preserve">Analysis and Optimization of a Sepsis Clinical Pathway Using Process Mining</t>
  </si>
  <si>
    <t xml:space="preserve">Springer Nature (capítulo de libro)</t>
  </si>
  <si>
    <t xml:space="preserve">Analysis and Optimization of a Sepsis Clinical Pathway Using Process Mining | Springer Nature Link453-2_37</t>
  </si>
  <si>
    <t xml:space="preserve">Brasil</t>
  </si>
  <si>
    <t xml:space="preserve">Quintano Neira, R. A., Hompes, B. F. A., de Vries, J. G.-J., Mazza, B. F., Simões de Almeida, S. L., Stretton, E., Buijs, J. C. A. M. y Hamacher, S.</t>
  </si>
  <si>
    <t xml:space="preserve">1) Analiza y optimiza una ruta clínica de sepsis con minería de procesos.
2) Antecedente directo de la identificación de desviaciones en la traza (OE1).
3) Sustenta la relevancia de la ruta de sepsis para el estudio.</t>
  </si>
  <si>
    <t xml:space="preserve">A Process Mining Driven Framework for Clinical Guideline Improvement in Critical Care</t>
  </si>
  <si>
    <t xml:space="preserve">Por verificar. ATENCIÓN: el enlace de la lista corresponde a otro título ("Learning from Medical Data Streams")</t>
  </si>
  <si>
    <t xml:space="preserve">https://www.researchgate.net/publication/236007639</t>
  </si>
  <si>
    <t xml:space="preserve">Canadá</t>
  </si>
  <si>
    <t xml:space="preserve">McGregor, C., Catley, C. y James, A.</t>
  </si>
  <si>
    <t xml:space="preserve">1) Marco de mejora de guías clínicas en cuidados críticos con minería de procesos.
2) Contexto de UCI: vincula el método con el desenlace del estudio.
3) El enlace de la lista corresponde a otro título: verificar la fuente correcta antes de citar.</t>
  </si>
  <si>
    <t xml:space="preserve">Process Mining in Sepsis Treatment Management: A Step-by-Step Approach to Discovery</t>
  </si>
  <si>
    <t xml:space="preserve">JBTH (Brasil); nombre completo por verificar</t>
  </si>
  <si>
    <t xml:space="preserve">https://doi.org/10.34178/jbth.v6iSuppl2.354</t>
  </si>
  <si>
    <t xml:space="preserve">Silva Júnior, E. R., Santos, U. L. y Figueredo, M. B.</t>
  </si>
  <si>
    <t xml:space="preserve">1) Procedimiento paso a paso de minería de procesos en tratamiento de sepsis.
2) Antecedente de procedimiento replicable en un contexto latinoamericano.
3) Insumo metodológico para OE1.</t>
  </si>
  <si>
    <t xml:space="preserve">Value of Algorithm-Enabled Process Innovation: The Case of Sepsis</t>
  </si>
  <si>
    <t xml:space="preserve">INFORMS (publicado en línea el 9 de junio de 2023)</t>
  </si>
  <si>
    <t xml:space="preserve">https://doi.org/10.1287/msom.2023.1226</t>
  </si>
  <si>
    <t xml:space="preserve">Adjerid, I., Ayvaci, M. U. S. y Özer, Ö.</t>
  </si>
  <si>
    <t xml:space="preserve">1) Analiza algoritmos en procesos de sepsis desde la perspectiva operativa.
2) No usa minería de procesos; aporta contexto del problema.
3) Útil para la justificación social y para la discusión de implicaciones prácticas.</t>
  </si>
  <si>
    <t xml:space="preserve">Process mining project methodology in healthcare: a case study in a tertiary hospital</t>
  </si>
  <si>
    <t xml:space="preserve">Health Information Science and Systems, vol. 9, art. 28</t>
  </si>
  <si>
    <t xml:space="preserve">Process mining project methodology in healthcare: a case study in a tertiary hospital | Network Modeling Analysis in Health Informatics and Bioinformatics | Springer Nature Link0227-w</t>
  </si>
  <si>
    <t xml:space="preserve">Pereira, G. B., Santos, E. A. P. y Maceno, M. M. C.</t>
  </si>
  <si>
    <t xml:space="preserve">1) Metodología de un proyecto de minería de procesos en hospital terciario.
2) Insumo para definir las fases del procedimiento.
3) Contexto de hospital terciario, comparable con el log de origen.</t>
  </si>
  <si>
    <t xml:space="preserve">Process mining routinely collected electronic health records to define real-life clinical pathways during chemotherapy</t>
  </si>
  <si>
    <t xml:space="preserve">Por verificar (ScienceDirect)</t>
  </si>
  <si>
    <t xml:space="preserve">Process mining routinely collected electronic health records to define real-life clinical pathways during chemotherapy - ScienceDirect</t>
  </si>
  <si>
    <t xml:space="preserve">Reino Unido</t>
  </si>
  <si>
    <t xml:space="preserve">Baker, K., Dunewoodie, E., Jones, R., Newsham, A. y Johnson, O.</t>
  </si>
  <si>
    <t xml:space="preserve">1) Construye trayectorias clínicas reales a partir de registros electrónicos rutinarios.
2) Antecedente de construcción de logs a partir de datos hospitalarios.
3) Contexto de quimioterapia, no de sepsis: referencia metodológica, no de dominio.</t>
  </si>
  <si>
    <t xml:space="preserve">Building Data-Driven Pathways From Routinely Collected Hospital Data: A Case Study on Prostate Cancer</t>
  </si>
  <si>
    <t xml:space="preserve">JMIR Medical Informatics, 3(2), e26</t>
  </si>
  <si>
    <t xml:space="preserve">Bettencourt Silva, J., Clark, J., Cooper, C. S., Mills, R., Rayward-Smith, V. y de la Iglesia, B.</t>
  </si>
  <si>
    <t xml:space="preserve">1) Construye trayectorias a partir de datos hospitalarios rutinarios (cáncer de próstata).
2) Antecedente para pasar de registros hospitalarios a logs de eventos.
3) Relevante para discutir la calidad de los datos de origen.</t>
  </si>
  <si>
    <t xml:space="preserve">Overview of leakage scenarios in supervised machine learning</t>
  </si>
  <si>
    <t xml:space="preserve">Journal of Big Data</t>
  </si>
  <si>
    <t xml:space="preserve">Overview of leakage scenarios in supervised machine learning | Journal of Big Data | Springer Nature Link186/s40537-025-01193-8</t>
  </si>
  <si>
    <t xml:space="preserve">Alemania</t>
  </si>
  <si>
    <t xml:space="preserve">Sasse, L. et al.</t>
  </si>
  <si>
    <t xml:space="preserve">Fuga de información</t>
  </si>
  <si>
    <t xml:space="preserve">1) Taxonomía de escenarios de fuga en aprendizaje supervisado.
2) Base para clasificar variables circulares en OE1.
3) Permite verificar que la clasificación cubre los escenarios documentados.</t>
  </si>
  <si>
    <t xml:space="preserve">Don’t push the button! Exploring data leakage risks in machine learning and transfer learning</t>
  </si>
  <si>
    <t xml:space="preserve">Artificial Intelligence Review</t>
  </si>
  <si>
    <t xml:space="preserve">Don’t push the button! Exploring data leakage risks in machine learning and transfer learning | Artificial Intelligence Review</t>
  </si>
  <si>
    <t xml:space="preserve">Italia</t>
  </si>
  <si>
    <t xml:space="preserve">Apicella, A., Isgrò, F. y Prevete, R.</t>
  </si>
  <si>
    <t xml:space="preserve">OE2</t>
  </si>
  <si>
    <t xml:space="preserve">1) Riesgos de fuga en aprendizaje automático y en transferencia.
2) Sustenta la comparación entre modelo base y corregido (OE2).
3) Menciona la transferencia de modelos, relevante para validar fuera del log original.</t>
  </si>
  <si>
    <t xml:space="preserve">Measuring data leakage in machine-learning models with Fisher information</t>
  </si>
  <si>
    <t xml:space="preserve">Proceedings of UAI 2021, PMLR 161, 760–770</t>
  </si>
  <si>
    <t xml:space="preserve">Hannun, A., Guo, C. y van der Maaten, L.</t>
  </si>
  <si>
    <t xml:space="preserve">OE3</t>
  </si>
  <si>
    <t xml:space="preserve">1) Mide la fuga de forma cuantitativa con información de Fisher.
2) Referencia para evaluar el detector frente a fugas conocidas (OE3).
3) Ofrece una medida continua de fuga, no solo una verificación binaria.</t>
  </si>
  <si>
    <t xml:space="preserve">Preventing Data Leakage in Classification via Integrated Machine Learning Pipelines: Preprocessing, Feature Transformation, and Hyperparameter Tuning</t>
  </si>
  <si>
    <t xml:space="preserve">Jurnal Teknik Informatika (UNSOED), Indonesia</t>
  </si>
  <si>
    <t xml:space="preserve">Preventing Data Leakage in Classification via Integrated Machine Learning Pipelines: Preprocessing, Feature Transformation, and Hyperparameter Tuning | Jurnal Teknik Informatika (Jutif)</t>
  </si>
  <si>
    <t xml:space="preserve">Indonesia</t>
  </si>
  <si>
    <t xml:space="preserve">Ichwani, A., Kesuma, R. I., Setiawan, A., Wicaksono, I. E. y Hanifah, R.</t>
  </si>
  <si>
    <t xml:space="preserve">Validación de modelos</t>
  </si>
  <si>
    <t xml:space="preserve">1) Pipelines que evitan la fuga en preprocesamiento y ajuste de hiperparámetros.
2) Sustenta el orden correcto de validación en OE2.
3) Verificar revista y año antes de citar.</t>
  </si>
  <si>
    <t xml:space="preserve">The effects of data quality on machine learning performance on tabular data</t>
  </si>
  <si>
    <t xml:space="preserve">Information Systems, vol. 132</t>
  </si>
  <si>
    <t xml:space="preserve">https://doi.org/10.1016/j.is.2025.102549</t>
  </si>
  <si>
    <t xml:space="preserve">Mohammed, S. et al.</t>
  </si>
  <si>
    <t xml:space="preserve">Otro</t>
  </si>
  <si>
    <t xml:space="preserve">1) Muestra el efecto de la calidad de datos en el desempeño de modelos tabulares.
2) Conecta la calidad de datos con la evaluación de la circularidad.
3) Insumo para la sección de calidad de datos del protocolo.</t>
  </si>
  <si>
    <t xml:space="preserve">Machine Learning: Algorithms, Real-World Applications and Research Directions</t>
  </si>
  <si>
    <t xml:space="preserve">SN Computer Science, vol. 2, núm. 3</t>
  </si>
  <si>
    <t xml:space="preserve">Machine Learning: Algorithms, Real-World Applications and Research Directions | SN Computer Science</t>
  </si>
  <si>
    <t xml:space="preserve">Australia</t>
  </si>
  <si>
    <t xml:space="preserve">Sarker, I. H.</t>
  </si>
  <si>
    <t xml:space="preserve">1) Revisión general de algoritmos de aprendizaje automático.
2) Respalda la descripción de regresión logística, Random Forest y XGBoost.
3) No aporta directamente a la circularidad.</t>
  </si>
  <si>
    <t xml:space="preserve">Leakage in data mining: Formulation, detection, and avoidance</t>
  </si>
  <si>
    <t xml:space="preserve">Proceedings of ACM SIGKDD (pp. 556–563)</t>
  </si>
  <si>
    <t xml:space="preserve">Leakage in Data Mining: Formulation, Detection, and Avoidance</t>
  </si>
  <si>
    <t xml:space="preserve">Kaufman, S., Rosset, S. y Perlich, C.</t>
  </si>
  <si>
    <t xml:space="preserve">1) Formaliza la fuga de datos y su detección.
2) Antecedente directo para definir criterios de fuga en OE1.
3) Referencia clásica del área: sustenta el marco conceptual.</t>
  </si>
  <si>
    <t xml:space="preserve">On Leakage in Machine Learning Pipelines</t>
  </si>
  <si>
    <t xml:space="preserve">arXiv:2311.04179</t>
  </si>
  <si>
    <t xml:space="preserve">[2311.04179] On Leakage in Machine Learning Pipelines</t>
  </si>
  <si>
    <t xml:space="preserve">1) Analiza la fuga en pipelines de aprendizaje automático.
2) Sustenta la comparación de pipelines en OE2.
3) Es un preprint (arXiv): verificar si existe versión publicada.</t>
  </si>
  <si>
    <t xml:space="preserve">Data leakage inflates prediction performance in connectome-based machine learning models</t>
  </si>
  <si>
    <t xml:space="preserve">Nature Communications</t>
  </si>
  <si>
    <t xml:space="preserve">Data leakage inflates prediction performance in connectome-based machine learning models | Nature Communications</t>
  </si>
  <si>
    <t xml:space="preserve">Nieto, N. et al. (autoría por verificar)</t>
  </si>
  <si>
    <t xml:space="preserve">1) Evidencia empírica de que la fuga infla el desempeño reportado.
2) Sustenta la medición del efecto de la corrección (OE2).
3) Contexto de neuroimagen, no clínico. Verificar autoría (orden desordenado en la lista).</t>
  </si>
  <si>
    <t xml:space="preserve">LeakageDetector: An Open Source Data Leakage Analysis Tool in Machine Learning Pipelines</t>
  </si>
  <si>
    <t xml:space="preserve">arXiv (2025)</t>
  </si>
  <si>
    <t xml:space="preserve">[2503.14723] LeakageDetector: An Open Source Data Leakage Analysis Tool in Machine Learning Pipelines</t>
  </si>
  <si>
    <t xml:space="preserve">Alomar, E. A., Demario, C., Shagawat, R. y Kreiser, B.</t>
  </si>
  <si>
    <t xml:space="preserve">1) Herramienta de código abierto para detectar fuga en pipelines.
2) Referencia de comparación para el detector del proyecto (OE3).
3) Es un preprint (arXiv): verificar.</t>
  </si>
  <si>
    <t xml:space="preserve">Data Leakage in Notebooks: Static Detection and Better Processes</t>
  </si>
  <si>
    <t xml:space="preserve">ACM (ASE 2022), doi 10.1145/3551349.3556918</t>
  </si>
  <si>
    <t xml:space="preserve">https://doi.org/10.1145/3551349.3556918</t>
  </si>
  <si>
    <t xml:space="preserve">Lewis, G. A., Brower-Sinning, R. A. y Kästner, C.</t>
  </si>
  <si>
    <t xml:space="preserve">1) Detección estática de fuga en cuadernos, sin ejecutar el código.
2) Referencia para la detección automática de fuga (OE3).
3) Enfoque de ingeniería de software aplicado a ML.</t>
  </si>
  <si>
    <t xml:space="preserve">CleanML: A Study for Evaluating the Impact of Data Cleaning on ML Classification Tasks</t>
  </si>
  <si>
    <t xml:space="preserve">Por verificar (referencia incompleta en la lista)</t>
  </si>
  <si>
    <t xml:space="preserve">[1904.09483] CleanML: A Study for Evaluating the Impact of Data Cleaning on ML Classification Tasks</t>
  </si>
  <si>
    <t xml:space="preserve">Li, P., Rao, X., Blase, J., Zhang, Y., Chu, X. y Zhang, C.</t>
  </si>
  <si>
    <t xml:space="preserve">1) Estudia el impacto de la limpieza de datos en tareas de clasificación.
2) Respalda la idea de que la preparación de datos cambia el desempeño.
3) Referencia incompleta: verificar revista y año.</t>
  </si>
  <si>
    <t xml:space="preserve">Leakage and the reproducibility crisis in ML-based science</t>
  </si>
  <si>
    <t xml:space="preserve">Patterns</t>
  </si>
  <si>
    <t xml:space="preserve">Por completar</t>
  </si>
  <si>
    <t xml:space="preserve">Kapoor, S. y Narayanan, A.</t>
  </si>
  <si>
    <t xml:space="preserve">1) Define y clasifica la fuga de información en el aprendizaje automático.
2) Documenta cómo la fuga infla las métricas reportadas.
3) Sustenta la definición operativa de circularidad que usa OE1.</t>
  </si>
  <si>
    <t xml:space="preserve">No</t>
  </si>
  <si>
    <t xml:space="preserve">On Over-fitting in Model Selection and Subsequent Selection Bias in Performance Evaluation</t>
  </si>
  <si>
    <t xml:space="preserve">Journal of Machine Learning Research, 11, 2079–2107</t>
  </si>
  <si>
    <t xml:space="preserve">Cawley, G. C. y Talbot, N. L. C.</t>
  </si>
  <si>
    <t xml:space="preserve">1) Demuestra el sesgo de selección cuando la selección de modelo no está anidada.
2) Sustenta la validación cruzada anidada de OE2.
3) Respalda la comparación entre modelo base y modelo corregido sin sesgo optimista.</t>
  </si>
  <si>
    <t xml:space="preserve">XGBoost: A Scalable Tree Boosting System</t>
  </si>
  <si>
    <t xml:space="preserve">KDD 2016, 785–794</t>
  </si>
  <si>
    <t xml:space="preserve">https://dl.acm.org/doi/abs/10.1145/2939672.2939785</t>
  </si>
  <si>
    <t xml:space="preserve">Chen, T. y Guestrin, C.</t>
  </si>
  <si>
    <t xml:space="preserve">1) Describe XGBoost, uno de los tres algoritmos del estudio.
2) Sustenta su uso como modelo de alto desempeño en datos tabulares.
3) Fundamenta la comparación con regresión logística y Random Forest en OE2.</t>
  </si>
  <si>
    <t xml:space="preserve">Workflow Mining: Discovering Process Models from Event Logs</t>
  </si>
  <si>
    <t xml:space="preserve">Por completar (IEEE TKDE)</t>
  </si>
  <si>
    <t xml:space="preserve">van der Aalst, W. M. P., Weijters, A. J. M. M. y Maruster, L.</t>
  </si>
  <si>
    <t xml:space="preserve">1) Introduce el descubrimiento de modelos de proceso desde logs de eventos.
2) Antecedente del marco de minería de procesos que usa el proyecto.
3) No es un objetivo vigente: el descubrimiento de modelos no se usa en OE1 a OE3.</t>
  </si>
  <si>
    <t xml:space="preserve">Discovering Block-Structured Process Models from Event Logs — A Constructive Approach</t>
  </si>
  <si>
    <t xml:space="preserve">Petri Nets 2013, LNCS vol. 7927, 311–329</t>
  </si>
  <si>
    <t xml:space="preserve">Leemans, S. J. J., Fahland, D. y van der Aalst, W. M. P.</t>
  </si>
  <si>
    <t xml:space="preserve">1) Describe Inductive Miner, un algoritmo de descubrimiento con modelos bien formados.
2) Referencia del método de descubrimiento, no de los objetivos vigentes.
3) Si se usa en OE1 para ordenar actividades, debe moverse a OE1.</t>
  </si>
  <si>
    <t xml:space="preserve">Mediation and Mining of Logs: The Heuristics Miner Algorithm</t>
  </si>
  <si>
    <t xml:space="preserve">Weijters, A. J. M. M. y Ribeiro, J. T. S.</t>
  </si>
  <si>
    <t xml:space="preserve">1) Describe Heuristics Miner, un algoritmo de descubrimiento robusto al ruido.
2) Contexto del descubrimiento de procesos en logs con ruido.
3) ATENCIÓN: el título no coincide con el que conozco (Flexible Heuristics Miner); verificar antes de citar.</t>
  </si>
  <si>
    <t xml:space="preserve">Capturing Resource Behaviour From Event Logs</t>
  </si>
  <si>
    <t xml:space="preserve">van der Aalst, W. M. P., Maggi, F. M. y de Leoni, M.</t>
  </si>
  <si>
    <t xml:space="preserve">1) Describe el comportamiento de recursos (personas o equipos) a partir de logs.
2) Perspectiva de recursos, no usada en los objetivos vigentes.
3) Puede ser útil si se incorporan recursos como variables.</t>
  </si>
  <si>
    <t xml:space="preserve">Removing Operational Friction Using Process Mining</t>
  </si>
  <si>
    <t xml:space="preserve">van der Aalst, W. M. P.</t>
  </si>
  <si>
    <t xml:space="preserve">1) Aplica minería de procesos para identificar fricciones operativas.
2) Respalda el uso de minería de procesos para auditar procesos reales.
3) Ensayo de perspectiva: no es evidencia empírica de un método.</t>
  </si>
  <si>
    <t xml:space="preserve">Process mining-driven digital transformation of enterprise logistics for circular and sustainable supply-chain performance</t>
  </si>
  <si>
    <t xml:space="preserve">Investigadores de la Universidad de Johannesburgo / Consorcio de Sostenibilidad de Procesos (autoría incompleta)</t>
  </si>
  <si>
    <t xml:space="preserve">1) Minería de procesos aplicada a logística y sostenibilidad.
2) "Circular" aquí significa economía circular, no circularidad de datos. No debe citarse para la definición de circularidad.
3) Autoría incompleta en la lista: identificar primer autor antes de citar.</t>
  </si>
  <si>
    <t xml:space="preserve">ProcRosetta: Aligning Event Logs, Process Trees, and Petri Nets</t>
  </si>
  <si>
    <t xml:space="preserve">Schuster, D., Adams, N. y van der Aalst, W. M. P.</t>
  </si>
  <si>
    <t xml:space="preserve">1) Alinea logs de eventos con árboles de proceso y redes de Petri.
2) Referencia de representación de procesos, sin uso en los objetivos vigentes.
3) Verificar la publicación y el año antes de citar.</t>
  </si>
  <si>
    <t xml:space="preserve">The Relationship Between Precision-Recall and ROC Curves</t>
  </si>
  <si>
    <t xml:space="preserve">Por completar (ICML 2006)</t>
  </si>
  <si>
    <t xml:space="preserve">Davis, J. y Goadrich, M.</t>
  </si>
  <si>
    <t xml:space="preserve">1) Demuestra la relación entre curvas precisión-recall y ROC.
2) Fundamenta la elección de AUC-PR frente a AUC-ROC en clases desbalanceadas (OE2).
3) Respalda la lectura del recall en la métrica principal.</t>
  </si>
  <si>
    <t xml:space="preserve">Predictive Business Process Monitoring with Random Forest</t>
  </si>
  <si>
    <t xml:space="preserve">de Leoni, M., Maggi, F. M. y van der Aalst, W. M. P.</t>
  </si>
  <si>
    <t xml:space="preserve">1) Aplica Random Forest a predicción de resultados de casos en procesos.
2) Ejemplo de uso del algoritmo en logs de eventos (OE2).
3) Es una aplicación, no la referencia metodológica de Random Forest: falta Breiman (2001).</t>
  </si>
  <si>
    <t xml:space="preserve">Using Logistic Regression for Predicting Process Model Quality Metrics</t>
  </si>
  <si>
    <t xml:space="preserve">Mendling, J., Verbeek, H. M. W. y van der Aalst, W. M. P.</t>
  </si>
  <si>
    <t xml:space="preserve">1) Aplica regresión logística a métricas de calidad de modelos de proceso.
2) Ejemplo de uso del algoritmo en minería de procesos (OE2).
3) Es una aplicación, no la referencia metodológica de regresión logística.</t>
  </si>
  <si>
    <t xml:space="preserve">Fault Injection Techniques and Tools for Software Quality Assurance</t>
  </si>
  <si>
    <t xml:space="preserve">Natella, R., Cotroneo, D. y Madeira, H.</t>
  </si>
  <si>
    <t xml:space="preserve">1) Revisa técnicas de inyección de fallos para evaluar la calidad de software.
2) Sustenta el método de inyección controlada de fugas del detector (OE3), por analogía.
3) Dominio de ingeniería de software: el método se adapta, no se transfiere directamente.</t>
  </si>
  <si>
    <t xml:space="preserve">Circular analysis in systems neuroscience: the dangers of double dipping</t>
  </si>
  <si>
    <t xml:space="preserve">Nature Neuroscience</t>
  </si>
  <si>
    <t xml:space="preserve">https://www.nature.com/articles/nn.2303</t>
  </si>
  <si>
    <t xml:space="preserve">Estados Unidos / Reino Unido</t>
  </si>
  <si>
    <t xml:space="preserve">Kriegeskorte, N., Simmons, W. K., Bellgowan, P. S. F. y Baker, C. I.</t>
  </si>
  <si>
    <t xml:space="preserve">1) Define el análisis circular (double dipping): usar los mismos datos para seleccionar variables y para estimar el desempeño infla los resultados.
2) Sustenta la definición operativa de circularidad por selección sobre los mismos datos (OE1).
3) Es un concepto de origen en neurociencia: se cita como definición, no como evidencia de dominio.</t>
  </si>
  <si>
    <t xml:space="preserve">Process Mining for Python (PM4Py): Bridging the Gap Between Process- and Data Science</t>
  </si>
  <si>
    <t xml:space="preserve">arXiv preprint arXiv:1905.06169</t>
  </si>
  <si>
    <t xml:space="preserve">https://arxiv.org/abs/1905.06169</t>
  </si>
  <si>
    <t xml:space="preserve">Berti, A., van Zelst, S. J. y van der Aalst, W. M. P.</t>
  </si>
  <si>
    <t xml:space="preserve">1) Herramienta de código abierto para minería de procesos integrada con ciencia de datos.
2) Respalda la implementación del procedimiento sobre el log (trazas y orden de actividades).
3) Es un preprint de arXiv: verificar si existe versión publicada.</t>
  </si>
  <si>
    <t xml:space="preserve">Process mining in healthcare: a literature review</t>
  </si>
  <si>
    <t xml:space="preserve">Journal of Biomedical Informatics, 61, 224–236</t>
  </si>
  <si>
    <t xml:space="preserve">Rojas, E., Munoz-Gama, J., Sepúlveda, M. y Capurro, D.</t>
  </si>
  <si>
    <t xml:space="preserve">1) Revisión de la minería de procesos en salud.
2) Sustenta la pertinencia del método en contextos hospitalarios.
3) Verificar el país de autores antes de completar la columna.</t>
  </si>
  <si>
    <t xml:space="preserve">Process mining for healthcare: characteristics and challenges</t>
  </si>
  <si>
    <t xml:space="preserve">Journal of Biomedical Informatics</t>
  </si>
  <si>
    <t xml:space="preserve">Muñoz-Gama, J. et al.</t>
  </si>
  <si>
    <t xml:space="preserve">1) Caracteriza los retos de la minería de procesos en salud.
2) Sustenta la necesidad de analizar trayectorias clínicas con criterios de proceso.
3) Volumen y páginas por verificar.</t>
  </si>
  <si>
    <t xml:space="preserve">Process Mining: Data Science in Action (2ª ed.)</t>
  </si>
  <si>
    <t xml:space="preserve">Springer-Verlag Berlin Heidelberg</t>
  </si>
  <si>
    <t xml:space="preserve">1) Libro de referencia de la minería de procesos: descubrimiento, conformidad y mejora.
2) Fundamenta los conceptos de traza y log de eventos usados en OE1.
3) Verificar ISBN antes de citar.</t>
  </si>
  <si>
    <t xml:space="preserve">MARCO TEÓRICO: temas, objetivos y referentes</t>
  </si>
  <si>
    <t xml:space="preserve">Qué debe aportar a la investigación</t>
  </si>
  <si>
    <t xml:space="preserve">Objetivo(s)</t>
  </si>
  <si>
    <t xml:space="preserve">Referentes (#)</t>
  </si>
  <si>
    <t xml:space="preserve">Número de referentes</t>
  </si>
  <si>
    <t xml:space="preserve">Pendiente de fuente</t>
  </si>
  <si>
    <t xml:space="preserve">9.1 Fuga de información: escenarios, medición y efecto</t>
  </si>
  <si>
    <t xml:space="preserve">Definir la circularidad (definicional, temporal, proxy) y explicar cómo infla las métricas.</t>
  </si>
  <si>
    <t xml:space="preserve">OE1, OE2, OE3</t>
  </si>
  <si>
    <t xml:space="preserve">#16, #18, #22, #23, #24, #28, #42</t>
  </si>
  <si>
    <t xml:space="preserve">Ninguno adicional.</t>
  </si>
  <si>
    <t xml:space="preserve">9.2 Validación de modelos y pipelines</t>
  </si>
  <si>
    <t xml:space="preserve">Establecer el orden correcto de validación y la comparación entre modelo base y corregido.</t>
  </si>
  <si>
    <t xml:space="preserve">#17, #19, #21, #29, #38</t>
  </si>
  <si>
    <t xml:space="preserve">Random Forest y regresión logística: referencias de aplicación identificadas; falta la referencia metodológica de cada algoritmo.</t>
  </si>
  <si>
    <t xml:space="preserve">9.3 Minería de procesos: representación y orden de trazas</t>
  </si>
  <si>
    <t xml:space="preserve">Justificar el uso de trazas para ubicar cada variable respecto al ingreso a UCI.</t>
  </si>
  <si>
    <t xml:space="preserve">#1, #2, #8, #9, #11, #13, #15, #31, #32, #33, #34, #35, #37, #43, #44, #45, #46</t>
  </si>
  <si>
    <t xml:space="preserve">Descubrimiento de modelos y fitness no están en los objetivos vigentes.</t>
  </si>
  <si>
    <t xml:space="preserve">9.4 Detección automática de fuga</t>
  </si>
  <si>
    <t xml:space="preserve">Sustentar el procedimiento de detección y la comparación con herramientas existentes.</t>
  </si>
  <si>
    <t xml:space="preserve">#25, #26, #41</t>
  </si>
  <si>
    <t xml:space="preserve">Método de inyección controlada de fugas: referencia por analogía (#41).</t>
  </si>
  <si>
    <t xml:space="preserve">9.5 Calidad de datos y limpieza</t>
  </si>
  <si>
    <t xml:space="preserve">Sustentar la preparación del log y el efecto de la calidad de datos.</t>
  </si>
  <si>
    <t xml:space="preserve">Marco general (apoya OE1 y OE2)</t>
  </si>
  <si>
    <t xml:space="preserve">#20, #27</t>
  </si>
  <si>
    <t xml:space="preserve">9.6 Algoritmos de clasificación</t>
  </si>
  <si>
    <t xml:space="preserve">Describir XGBoost, Random Forest y regresión logística.</t>
  </si>
  <si>
    <t xml:space="preserve">#21, #30, #39, #40</t>
  </si>
  <si>
    <t xml:space="preserve">Falta la referencia metodológica de Random Forest (Breiman, 2001) y de regresión logística.</t>
  </si>
  <si>
    <t xml:space="preserve">Contexto clínico: sepsis e ingreso a UCI</t>
  </si>
  <si>
    <t xml:space="preserve">Justificar la relevancia social del desenlace.</t>
  </si>
  <si>
    <t xml:space="preserve">Relevancia social</t>
  </si>
  <si>
    <t xml:space="preserve">#12</t>
  </si>
  <si>
    <t xml:space="preserve">Fuente epidemiológica verificada.</t>
  </si>
  <si>
    <t xml:space="preserve">OBJETIVOS Y SU RELACIÓN CON EL ESTADO DEL ARTE (vigentes; sujetos a redefinición)</t>
  </si>
  <si>
    <t xml:space="preserve">Código</t>
  </si>
  <si>
    <t xml:space="preserve">Enunciado</t>
  </si>
  <si>
    <t xml:space="preserve">Verbo</t>
  </si>
  <si>
    <t xml:space="preserve">Objeto de análisis</t>
  </si>
  <si>
    <t xml:space="preserve">Datos</t>
  </si>
  <si>
    <t xml:space="preserve">Medida</t>
  </si>
  <si>
    <t xml:space="preserve">Límite</t>
  </si>
  <si>
    <t xml:space="preserve">Referentes (n)</t>
  </si>
  <si>
    <t xml:space="preserve">Referentes de apoyo (#)</t>
  </si>
  <si>
    <t xml:space="preserve">General</t>
  </si>
  <si>
    <t xml:space="preserve">Analizar cómo la exclusión de variables circulares modifica el desempeño predictivo de un modelo de ingreso a UCI en un log de eventos de sepsis.</t>
  </si>
  <si>
    <t xml:space="preserve">Analizar</t>
  </si>
  <si>
    <t xml:space="preserve">Exclusión de variables circulares y desempeño predictivo</t>
  </si>
  <si>
    <t xml:space="preserve">Sepsis Cases (1,050 casos)</t>
  </si>
  <si>
    <t xml:space="preserve">Área bajo la curva y recall</t>
  </si>
  <si>
    <t xml:space="preserve">Un log, un hospital, un desenlace (ingreso a UCI)</t>
  </si>
  <si>
    <t xml:space="preserve">Todos (#1 a #27)</t>
  </si>
  <si>
    <t xml:space="preserve">Examinar la posición temporal de cada variable respecto al ingreso a UCI dentro de cada traza, para clasificarla como circular o no circular.</t>
  </si>
  <si>
    <t xml:space="preserve">Examinar</t>
  </si>
  <si>
    <t xml:space="preserve">Posición temporal de cada variable en la traza</t>
  </si>
  <si>
    <t xml:space="preserve">Sepsis Cases (orden de actividades)</t>
  </si>
  <si>
    <t xml:space="preserve">Clasificación de variables (tabla)</t>
  </si>
  <si>
    <t xml:space="preserve">No evalúa desempeño predictivo</t>
  </si>
  <si>
    <t xml:space="preserve">#1, #2, #4, #8, #9, #10, #11, #13, #14, #15, #16, #22, #28, #42</t>
  </si>
  <si>
    <t xml:space="preserve">Cuantificar la diferencia de área bajo la curva y recall entre el modelo base y el modelo corregido, con validación cruzada anidada e intervalos de confianza.</t>
  </si>
  <si>
    <t xml:space="preserve">Cuantificar</t>
  </si>
  <si>
    <t xml:space="preserve">Diferencia de desempeño entre modelo base y corregido</t>
  </si>
  <si>
    <t xml:space="preserve">Sepsis Cases (110 casos con ingreso a UCI)</t>
  </si>
  <si>
    <t xml:space="preserve">Área bajo la curva, recall, intervalos</t>
  </si>
  <si>
    <t xml:space="preserve">Máximo 10 variables; 110 positivos</t>
  </si>
  <si>
    <t xml:space="preserve">#17, #19, #23, #24, #29, #30, #38, #39, #40</t>
  </si>
  <si>
    <t xml:space="preserve">Contrastar la precisión y el recall del procedimiento de detección frente a variables con fuga inyectada de intensidad conocida.</t>
  </si>
  <si>
    <t xml:space="preserve">Contrastar</t>
  </si>
  <si>
    <t xml:space="preserve">Procedimiento de detección de circularidad</t>
  </si>
  <si>
    <t xml:space="preserve">Sepsis Cases con variable inyectada</t>
  </si>
  <si>
    <t xml:space="preserve">Precisión y recall del detector</t>
  </si>
  <si>
    <t xml:space="preserve">Fugas inyectadas, no fugas reales</t>
  </si>
  <si>
    <t xml:space="preserve">#18, #25, #26, #41</t>
  </si>
  <si>
    <t xml:space="preserve">Relación entre objetivos (cómo se articulan con el general)</t>
  </si>
  <si>
    <t xml:space="preserve">OE1 → variable x</t>
  </si>
  <si>
    <t xml:space="preserve">Construye la variable que el estudio manipula: qué variables se excluyen. Sin una clasificación explícita, la exclusión no está definida.</t>
  </si>
  <si>
    <t xml:space="preserve">OE2 → variable y</t>
  </si>
  <si>
    <t xml:space="preserve">Mide el efecto de x sobre el desempeño. Responde directamente a la pregunta de investigación.</t>
  </si>
  <si>
    <t xml:space="preserve">OE3 → validez de x</t>
  </si>
  <si>
    <t xml:space="preserve">Comprueba que el procedimiento de OE1 identifica correctamente las fugas. Sin esta prueba, x podría estar mal clasificada y el efecto medido en OE2 no sería interpretable.</t>
  </si>
  <si>
    <t xml:space="preserve">Integra los tres: OE1 define la exclusión, OE2 mide su efecto y OE3 valida que la exclusión sea correcta.</t>
  </si>
  <si>
    <t xml:space="preserve">Apoyo de la literatura por objetivo (resumen)</t>
  </si>
  <si>
    <t xml:space="preserve">Minería de procesos en sepsis y salud (#1, #8, #9, #11) y taxonomías de fuga (#16, #22, #28). Sustenta el criterio temporal y el de definición.</t>
  </si>
  <si>
    <t xml:space="preserve">Evidencia de que la fuga infla el desempeño (#24) y riesgos en pipelines (#17, #23). Validación correcta en pipelines (#19). Validación anidada (#29) y algoritmo XGBoost (#30). Comparación AUC-PR/ROC (#38), regresión logística (#40) y Random Forest como aplicación (#39).</t>
  </si>
  <si>
    <t xml:space="preserve">Medición cuantitativa de fuga (#18), herramientas de detección (#25, #26) e inyección de fallos por analogía (#41). Datos simulados como complemento (#6).</t>
  </si>
</sst>
</file>

<file path=xl/styles.xml><?xml version="1.0" encoding="utf-8"?>
<styleSheet xmlns="http://schemas.openxmlformats.org/spreadsheetml/2006/main">
  <numFmts count="2">
    <numFmt numFmtId="164" formatCode="General"/>
    <numFmt numFmtId="165" formatCode="General"/>
  </numFmts>
  <fonts count="17">
    <font>
      <sz val="11"/>
      <color theme="1"/>
      <name val="Calibri"/>
      <family val="0"/>
      <charset val="1"/>
    </font>
    <font>
      <sz val="10"/>
      <name val="Arial"/>
      <family val="0"/>
    </font>
    <font>
      <sz val="10"/>
      <name val="Arial"/>
      <family val="0"/>
    </font>
    <font>
      <sz val="10"/>
      <name val="Arial"/>
      <family val="0"/>
    </font>
    <font>
      <sz val="13"/>
      <color rgb="FFFFFFFF"/>
      <name val="Arial"/>
      <family val="0"/>
      <charset val="1"/>
    </font>
    <font>
      <sz val="13"/>
      <color theme="1"/>
      <name val="Calibri"/>
      <family val="0"/>
      <charset val="1"/>
    </font>
    <font>
      <b val="true"/>
      <sz val="13"/>
      <color rgb="FF000000"/>
      <name val="Arial"/>
      <family val="0"/>
      <charset val="1"/>
    </font>
    <font>
      <sz val="13"/>
      <color rgb="FF000000"/>
      <name val="Arial"/>
      <family val="0"/>
      <charset val="1"/>
    </font>
    <font>
      <i val="true"/>
      <sz val="13"/>
      <color theme="1"/>
      <name val="Arial"/>
      <family val="0"/>
      <charset val="1"/>
    </font>
    <font>
      <b val="true"/>
      <sz val="12"/>
      <color rgb="FFFFFFFF"/>
      <name val="Arial"/>
      <family val="0"/>
      <charset val="1"/>
    </font>
    <font>
      <b val="true"/>
      <sz val="10"/>
      <color rgb="FF000000"/>
      <name val="Arial"/>
      <family val="0"/>
      <charset val="1"/>
    </font>
    <font>
      <sz val="10"/>
      <color theme="1"/>
      <name val="Arial"/>
      <family val="0"/>
      <charset val="1"/>
    </font>
    <font>
      <u val="single"/>
      <sz val="10"/>
      <color rgb="FF0000FF"/>
      <name val="Arial"/>
      <family val="0"/>
      <charset val="1"/>
    </font>
    <font>
      <sz val="10"/>
      <name val="Arial"/>
      <family val="0"/>
      <charset val="1"/>
    </font>
    <font>
      <sz val="10"/>
      <color rgb="FF000000"/>
      <name val="Arial"/>
      <family val="0"/>
      <charset val="1"/>
    </font>
    <font>
      <b val="true"/>
      <sz val="10"/>
      <name val="Arial"/>
      <family val="0"/>
      <charset val="1"/>
    </font>
    <font>
      <b val="true"/>
      <sz val="11"/>
      <name val="Arial"/>
      <family val="0"/>
      <charset val="1"/>
    </font>
  </fonts>
  <fills count="4">
    <fill>
      <patternFill patternType="none"/>
    </fill>
    <fill>
      <patternFill patternType="gray125"/>
    </fill>
    <fill>
      <patternFill patternType="solid">
        <fgColor rgb="FF1F3864"/>
        <bgColor rgb="FF333333"/>
      </patternFill>
    </fill>
    <fill>
      <patternFill patternType="solid">
        <fgColor rgb="FFD9E1F2"/>
        <bgColor rgb="FFCCFFFF"/>
      </patternFill>
    </fill>
  </fills>
  <borders count="2">
    <border diagonalUp="false" diagonalDown="false">
      <left/>
      <right/>
      <top/>
      <bottom/>
      <diagonal/>
    </border>
    <border diagonalUp="false" diagonalDown="false">
      <left style="thin">
        <color rgb="FF999999"/>
      </left>
      <right style="thin">
        <color rgb="FF999999"/>
      </right>
      <top style="thin">
        <color rgb="FF999999"/>
      </top>
      <bottom style="thin">
        <color rgb="FF99999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5" fontId="7" fillId="0" borderId="1"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9" fillId="2" borderId="0" xfId="0" applyFont="true" applyBorder="true" applyAlignment="true" applyProtection="false">
      <alignment horizontal="general" vertical="bottom" textRotation="0" wrapText="false" indent="0" shrinkToFit="false"/>
      <protection locked="true" hidden="false"/>
    </xf>
    <xf numFmtId="164" fontId="10" fillId="3" borderId="1"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12" fillId="0" borderId="1" xfId="0" applyFont="true" applyBorder="true" applyAlignment="true" applyProtection="false">
      <alignment horizontal="general" vertical="top" textRotation="0" wrapText="true" indent="0" shrinkToFit="false"/>
      <protection locked="true" hidden="false"/>
    </xf>
    <xf numFmtId="164" fontId="13" fillId="0" borderId="1" xfId="0" applyFont="true" applyBorder="true" applyAlignment="true" applyProtection="false">
      <alignment horizontal="general" vertical="top" textRotation="0" wrapText="true" indent="0" shrinkToFit="false"/>
      <protection locked="true" hidden="false"/>
    </xf>
    <xf numFmtId="164" fontId="14" fillId="0" borderId="1" xfId="0" applyFont="true" applyBorder="true" applyAlignment="true" applyProtection="false">
      <alignment horizontal="general" vertical="top" textRotation="0" wrapText="true" indent="0" shrinkToFit="false"/>
      <protection locked="true" hidden="false"/>
    </xf>
    <xf numFmtId="164" fontId="15" fillId="3" borderId="1" xfId="0" applyFont="true" applyBorder="true" applyAlignment="true" applyProtection="false">
      <alignment horizontal="general" vertical="top" textRotation="0" wrapText="true" indent="0" shrinkToFit="false"/>
      <protection locked="true" hidden="false"/>
    </xf>
    <xf numFmtId="164" fontId="16"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99999"/>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https://research.tue.nl/en/publications/analyzing-the-trajectories-of-patients-with-sepsis-using-process-/" TargetMode="External"/><Relationship Id="rId2" Type="http://schemas.openxmlformats.org/officeDocument/2006/relationships/hyperlink" Target="https://www.sciencedirect.com/science/article/abs/pii/S0306437911000044" TargetMode="External"/><Relationship Id="rId3" Type="http://schemas.openxmlformats.org/officeDocument/2006/relationships/hyperlink" Target="https://peerj.com/articles/cs-2613/" TargetMode="External"/><Relationship Id="rId4" Type="http://schemas.openxmlformats.org/officeDocument/2006/relationships/hyperlink" Target="https://www.researchgate.net/publication/221334513_Process_Mining_in_Healthcare_-_A_Case_Study" TargetMode="External"/><Relationship Id="rId5" Type="http://schemas.openxmlformats.org/officeDocument/2006/relationships/hyperlink" Target="https://www.researchgate.net/publication/402032002" TargetMode="External"/><Relationship Id="rId6" Type="http://schemas.openxmlformats.org/officeDocument/2006/relationships/hyperlink" Target="https://ieeexplore.ieee.org/abstract/document/10755089" TargetMode="External"/><Relationship Id="rId7" Type="http://schemas.openxmlformats.org/officeDocument/2006/relationships/hyperlink" Target="https://laccei.org/LACCEI2019-MontegoBay/full_papers/FP286.pdf" TargetMode="External"/><Relationship Id="rId8" Type="http://schemas.openxmlformats.org/officeDocument/2006/relationships/hyperlink" Target="https://ieeexplore.ieee.org/abstract/document/8269727" TargetMode="External"/><Relationship Id="rId9" Type="http://schemas.openxmlformats.org/officeDocument/2006/relationships/hyperlink" Target="https://link.springer.com/chapter/10.1007/978-3-030-37453-2_37" TargetMode="External"/><Relationship Id="rId10" Type="http://schemas.openxmlformats.org/officeDocument/2006/relationships/hyperlink" Target="https://www.researchgate.net/publication/236007639" TargetMode="External"/><Relationship Id="rId11" Type="http://schemas.openxmlformats.org/officeDocument/2006/relationships/hyperlink" Target="https://doi.org/10.34178/jbth.v6iSuppl2.354" TargetMode="External"/><Relationship Id="rId12" Type="http://schemas.openxmlformats.org/officeDocument/2006/relationships/hyperlink" Target="https://doi.org/10.1287/msom.2023.1226" TargetMode="External"/><Relationship Id="rId13" Type="http://schemas.openxmlformats.org/officeDocument/2006/relationships/hyperlink" Target="https://link.springer.com/article/10.1007/s13721-020-00227-w" TargetMode="External"/><Relationship Id="rId14" Type="http://schemas.openxmlformats.org/officeDocument/2006/relationships/hyperlink" Target="https://www.sciencedirect.com/science/article/abs/pii/S1386505617300722" TargetMode="External"/><Relationship Id="rId15" Type="http://schemas.openxmlformats.org/officeDocument/2006/relationships/hyperlink" Target="https://medinform.jmir.org/2015/3/e26/" TargetMode="External"/><Relationship Id="rId16" Type="http://schemas.openxmlformats.org/officeDocument/2006/relationships/hyperlink" Target="https://link.springer.com/article/10.1186/s40537-025-01193-8" TargetMode="External"/><Relationship Id="rId17" Type="http://schemas.openxmlformats.org/officeDocument/2006/relationships/hyperlink" Target="https://link.springer.com/article/10.1007/s10462-025-11326-3" TargetMode="External"/><Relationship Id="rId18" Type="http://schemas.openxmlformats.org/officeDocument/2006/relationships/hyperlink" Target="https://proceedings.mlr.press/v161/hannun21a.html" TargetMode="External"/><Relationship Id="rId19" Type="http://schemas.openxmlformats.org/officeDocument/2006/relationships/hyperlink" Target="https://jutif.if.unsoed.ac.id/index.php/jurnal/article/view/5490" TargetMode="External"/><Relationship Id="rId20" Type="http://schemas.openxmlformats.org/officeDocument/2006/relationships/hyperlink" Target="https://doi.org/10.1016/j.is.2025.102549" TargetMode="External"/><Relationship Id="rId21" Type="http://schemas.openxmlformats.org/officeDocument/2006/relationships/hyperlink" Target="https://dl.acm.org/doi/10.1007/s42979-021-00592-x" TargetMode="External"/><Relationship Id="rId22" Type="http://schemas.openxmlformats.org/officeDocument/2006/relationships/hyperlink" Target="https://www.cs.umb.edu/~ding/history/470_670_fall_2011/papers/cs670_Tran_PreferredPaper_LeakingInDataMining.pdf" TargetMode="External"/><Relationship Id="rId23" Type="http://schemas.openxmlformats.org/officeDocument/2006/relationships/hyperlink" Target="http://arxiv.org/abs/2311.04179" TargetMode="External"/><Relationship Id="rId24" Type="http://schemas.openxmlformats.org/officeDocument/2006/relationships/hyperlink" Target="https://www.nature.com/articles/s41467-024-46150-w" TargetMode="External"/><Relationship Id="rId25" Type="http://schemas.openxmlformats.org/officeDocument/2006/relationships/hyperlink" Target="https://arxiv.org/abs/2503.14723" TargetMode="External"/><Relationship Id="rId26" Type="http://schemas.openxmlformats.org/officeDocument/2006/relationships/hyperlink" Target="https://doi.org/10.1145/3551349.3556918" TargetMode="External"/><Relationship Id="rId27" Type="http://schemas.openxmlformats.org/officeDocument/2006/relationships/hyperlink" Target="https://arxiv.org/abs/1904.09483"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26" min="1" style="1" width="42"/>
  </cols>
  <sheetData>
    <row r="1" customFormat="false" ht="15" hidden="false" customHeight="true" outlineLevel="0" collapsed="false">
      <c r="A1" s="2" t="s">
        <v>0</v>
      </c>
      <c r="B1" s="2"/>
      <c r="C1" s="2"/>
      <c r="D1" s="3"/>
      <c r="E1" s="3"/>
      <c r="F1" s="3"/>
      <c r="G1" s="3"/>
      <c r="H1" s="3"/>
      <c r="I1" s="3"/>
      <c r="J1" s="3"/>
      <c r="K1" s="3"/>
      <c r="L1" s="3"/>
      <c r="M1" s="3"/>
      <c r="N1" s="3"/>
      <c r="O1" s="3"/>
      <c r="P1" s="3"/>
      <c r="Q1" s="3"/>
      <c r="R1" s="3"/>
      <c r="S1" s="3"/>
      <c r="T1" s="3"/>
      <c r="U1" s="3"/>
      <c r="V1" s="3"/>
      <c r="W1" s="3"/>
      <c r="X1" s="3"/>
      <c r="Y1" s="3"/>
      <c r="Z1" s="3"/>
    </row>
    <row r="2" customFormat="false" ht="15.75" hidden="false" customHeight="true" outlineLevel="0" collapsed="false">
      <c r="A2" s="3"/>
      <c r="B2" s="3"/>
      <c r="C2" s="3"/>
      <c r="D2" s="3"/>
      <c r="E2" s="3"/>
      <c r="F2" s="3"/>
      <c r="G2" s="3"/>
      <c r="H2" s="3"/>
      <c r="I2" s="3"/>
      <c r="J2" s="3"/>
      <c r="K2" s="3"/>
      <c r="L2" s="3"/>
      <c r="M2" s="3"/>
      <c r="N2" s="3"/>
      <c r="O2" s="3"/>
      <c r="P2" s="3"/>
      <c r="Q2" s="3"/>
      <c r="R2" s="3"/>
      <c r="S2" s="3"/>
      <c r="T2" s="3"/>
      <c r="U2" s="3"/>
      <c r="V2" s="3"/>
      <c r="W2" s="3"/>
      <c r="X2" s="3"/>
      <c r="Y2" s="3"/>
      <c r="Z2" s="3"/>
    </row>
    <row r="3" customFormat="false" ht="15" hidden="false" customHeight="true" outlineLevel="0" collapsed="false">
      <c r="A3" s="4" t="s">
        <v>1</v>
      </c>
      <c r="B3" s="5" t="n">
        <f aca="false">COUNTA('ESTADO DEL ARTE'!C3:C62)</f>
        <v>46</v>
      </c>
      <c r="C3" s="3"/>
      <c r="D3" s="3"/>
      <c r="E3" s="3"/>
      <c r="F3" s="3"/>
      <c r="G3" s="3"/>
      <c r="H3" s="3"/>
      <c r="I3" s="3"/>
      <c r="J3" s="3"/>
      <c r="K3" s="3"/>
      <c r="L3" s="3"/>
      <c r="M3" s="3"/>
      <c r="N3" s="3"/>
      <c r="O3" s="3"/>
      <c r="P3" s="3"/>
      <c r="Q3" s="3"/>
      <c r="R3" s="3"/>
      <c r="S3" s="3"/>
      <c r="T3" s="3"/>
      <c r="U3" s="3"/>
      <c r="V3" s="3"/>
      <c r="W3" s="3"/>
      <c r="X3" s="3"/>
      <c r="Y3" s="3"/>
      <c r="Z3" s="3"/>
    </row>
    <row r="4" customFormat="false" ht="15" hidden="false" customHeight="true" outlineLevel="0" collapsed="false">
      <c r="A4" s="4" t="s">
        <v>2</v>
      </c>
      <c r="B4" s="5" t="n">
        <f aca="false">COUNTIF('ESTADO DEL ARTE'!K3:K62,"Sí")</f>
        <v>28</v>
      </c>
      <c r="C4" s="3"/>
      <c r="D4" s="3"/>
      <c r="E4" s="3"/>
      <c r="F4" s="3"/>
      <c r="G4" s="3"/>
      <c r="H4" s="3"/>
      <c r="I4" s="3"/>
      <c r="J4" s="3"/>
      <c r="K4" s="3"/>
      <c r="L4" s="3"/>
      <c r="M4" s="3"/>
      <c r="N4" s="3"/>
      <c r="O4" s="3"/>
      <c r="P4" s="3"/>
      <c r="Q4" s="3"/>
      <c r="R4" s="3"/>
      <c r="S4" s="3"/>
      <c r="T4" s="3"/>
      <c r="U4" s="3"/>
      <c r="V4" s="3"/>
      <c r="W4" s="3"/>
      <c r="X4" s="3"/>
      <c r="Y4" s="3"/>
      <c r="Z4" s="3"/>
    </row>
    <row r="5" customFormat="false" ht="15" hidden="false" customHeight="true" outlineLevel="0" collapsed="false">
      <c r="A5" s="4" t="s">
        <v>3</v>
      </c>
      <c r="B5" s="5" t="n">
        <f aca="false">COUNTIF('ESTADO DEL ARTE'!K3:K62,"No")</f>
        <v>18</v>
      </c>
      <c r="C5" s="3"/>
      <c r="D5" s="3"/>
      <c r="E5" s="3"/>
      <c r="F5" s="3"/>
      <c r="G5" s="3"/>
      <c r="H5" s="3"/>
      <c r="I5" s="3"/>
      <c r="J5" s="3"/>
      <c r="K5" s="3"/>
      <c r="L5" s="3"/>
      <c r="M5" s="3"/>
      <c r="N5" s="3"/>
      <c r="O5" s="3"/>
      <c r="P5" s="3"/>
      <c r="Q5" s="3"/>
      <c r="R5" s="3"/>
      <c r="S5" s="3"/>
      <c r="T5" s="3"/>
      <c r="U5" s="3"/>
      <c r="V5" s="3"/>
      <c r="W5" s="3"/>
      <c r="X5" s="3"/>
      <c r="Y5" s="3"/>
      <c r="Z5" s="3"/>
    </row>
    <row r="6" customFormat="false" ht="15" hidden="false" customHeight="true" outlineLevel="0" collapsed="false">
      <c r="A6" s="4" t="s">
        <v>4</v>
      </c>
      <c r="B6" s="5" t="n">
        <f aca="false">COUNTIF('ESTADO DEL ARTE'!I3:I62,"OE1")</f>
        <v>14</v>
      </c>
      <c r="C6" s="3"/>
      <c r="D6" s="3"/>
      <c r="E6" s="3"/>
      <c r="F6" s="3"/>
      <c r="G6" s="3"/>
      <c r="H6" s="3"/>
      <c r="I6" s="3"/>
      <c r="J6" s="3"/>
      <c r="K6" s="3"/>
      <c r="L6" s="3"/>
      <c r="M6" s="3"/>
      <c r="N6" s="3"/>
      <c r="O6" s="3"/>
      <c r="P6" s="3"/>
      <c r="Q6" s="3"/>
      <c r="R6" s="3"/>
      <c r="S6" s="3"/>
      <c r="T6" s="3"/>
      <c r="U6" s="3"/>
      <c r="V6" s="3"/>
      <c r="W6" s="3"/>
      <c r="X6" s="3"/>
      <c r="Y6" s="3"/>
      <c r="Z6" s="3"/>
    </row>
    <row r="7" customFormat="false" ht="15" hidden="false" customHeight="true" outlineLevel="0" collapsed="false">
      <c r="A7" s="4" t="s">
        <v>5</v>
      </c>
      <c r="B7" s="5" t="n">
        <f aca="false">COUNTIF('ESTADO DEL ARTE'!I3:I62,"OE2")</f>
        <v>9</v>
      </c>
      <c r="C7" s="3"/>
      <c r="D7" s="3"/>
      <c r="E7" s="3"/>
      <c r="F7" s="3"/>
      <c r="G7" s="3"/>
      <c r="H7" s="3"/>
      <c r="I7" s="3"/>
      <c r="J7" s="3"/>
      <c r="K7" s="3"/>
      <c r="L7" s="3"/>
      <c r="M7" s="3"/>
      <c r="N7" s="3"/>
      <c r="O7" s="3"/>
      <c r="P7" s="3"/>
      <c r="Q7" s="3"/>
      <c r="R7" s="3"/>
      <c r="S7" s="3"/>
      <c r="T7" s="3"/>
      <c r="U7" s="3"/>
      <c r="V7" s="3"/>
      <c r="W7" s="3"/>
      <c r="X7" s="3"/>
      <c r="Y7" s="3"/>
      <c r="Z7" s="3"/>
    </row>
    <row r="8" customFormat="false" ht="15" hidden="false" customHeight="true" outlineLevel="0" collapsed="false">
      <c r="A8" s="4" t="s">
        <v>6</v>
      </c>
      <c r="B8" s="5" t="n">
        <f aca="false">COUNTIF('ESTADO DEL ARTE'!I3:I62,"OE3")</f>
        <v>4</v>
      </c>
      <c r="C8" s="3"/>
      <c r="D8" s="3"/>
      <c r="E8" s="3"/>
      <c r="F8" s="3"/>
      <c r="G8" s="3"/>
      <c r="H8" s="3"/>
      <c r="I8" s="3"/>
      <c r="J8" s="3"/>
      <c r="K8" s="3"/>
      <c r="L8" s="3"/>
      <c r="M8" s="3"/>
      <c r="N8" s="3"/>
      <c r="O8" s="3"/>
      <c r="P8" s="3"/>
      <c r="Q8" s="3"/>
      <c r="R8" s="3"/>
      <c r="S8" s="3"/>
      <c r="T8" s="3"/>
      <c r="U8" s="3"/>
      <c r="V8" s="3"/>
      <c r="W8" s="3"/>
      <c r="X8" s="3"/>
      <c r="Y8" s="3"/>
      <c r="Z8" s="3"/>
    </row>
    <row r="9" customFormat="false" ht="15" hidden="false" customHeight="true" outlineLevel="0" collapsed="false">
      <c r="A9" s="4" t="s">
        <v>7</v>
      </c>
      <c r="B9" s="5" t="n">
        <f aca="false">COUNTIF('ESTADO DEL ARTE'!I3:I62,"Marco general")</f>
        <v>19</v>
      </c>
      <c r="C9" s="3"/>
      <c r="D9" s="3"/>
      <c r="E9" s="3"/>
      <c r="F9" s="3"/>
      <c r="G9" s="3"/>
      <c r="H9" s="3"/>
      <c r="I9" s="3"/>
      <c r="J9" s="3"/>
      <c r="K9" s="3"/>
      <c r="L9" s="3"/>
      <c r="M9" s="3"/>
      <c r="N9" s="3"/>
      <c r="O9" s="3"/>
      <c r="P9" s="3"/>
      <c r="Q9" s="3"/>
      <c r="R9" s="3"/>
      <c r="S9" s="3"/>
      <c r="T9" s="3"/>
      <c r="U9" s="3"/>
      <c r="V9" s="3"/>
      <c r="W9" s="3"/>
      <c r="X9" s="3"/>
      <c r="Y9" s="3"/>
      <c r="Z9" s="3"/>
    </row>
    <row r="10" customFormat="false" ht="15" hidden="false" customHeight="true" outlineLevel="0" collapsed="false">
      <c r="A10" s="3"/>
      <c r="B10" s="3"/>
      <c r="C10" s="3"/>
      <c r="D10" s="3"/>
      <c r="E10" s="3"/>
      <c r="F10" s="3"/>
      <c r="G10" s="3"/>
      <c r="H10" s="3"/>
      <c r="I10" s="3"/>
      <c r="J10" s="3"/>
      <c r="K10" s="3"/>
      <c r="L10" s="3"/>
      <c r="M10" s="3"/>
      <c r="N10" s="3"/>
      <c r="O10" s="3"/>
      <c r="P10" s="3"/>
      <c r="Q10" s="3"/>
      <c r="R10" s="3"/>
      <c r="S10" s="3"/>
      <c r="T10" s="3"/>
      <c r="U10" s="3"/>
      <c r="V10" s="3"/>
      <c r="W10" s="3"/>
      <c r="X10" s="3"/>
      <c r="Y10" s="3"/>
      <c r="Z10" s="3"/>
    </row>
    <row r="11" customFormat="false" ht="15" hidden="false" customHeight="true" outlineLevel="0" collapsed="false">
      <c r="A11" s="6"/>
      <c r="B11" s="3"/>
      <c r="C11" s="3"/>
      <c r="D11" s="3"/>
      <c r="E11" s="3"/>
      <c r="F11" s="3"/>
      <c r="G11" s="3"/>
      <c r="H11" s="3"/>
      <c r="I11" s="3"/>
      <c r="J11" s="3"/>
      <c r="K11" s="3"/>
      <c r="L11" s="3"/>
      <c r="M11" s="3"/>
      <c r="N11" s="3"/>
      <c r="O11" s="3"/>
      <c r="P11" s="3"/>
      <c r="Q11" s="3"/>
      <c r="R11" s="3"/>
      <c r="S11" s="3"/>
      <c r="T11" s="3"/>
      <c r="U11" s="3"/>
      <c r="V11" s="3"/>
      <c r="W11" s="3"/>
      <c r="X11" s="3"/>
      <c r="Y11" s="3"/>
      <c r="Z11" s="3"/>
    </row>
    <row r="12" customFormat="false" ht="15" hidden="false" customHeight="true" outlineLevel="0" collapsed="false">
      <c r="A12" s="3"/>
      <c r="B12" s="3"/>
      <c r="C12" s="3"/>
      <c r="D12" s="3"/>
      <c r="E12" s="3"/>
      <c r="F12" s="3"/>
      <c r="G12" s="3"/>
      <c r="H12" s="3"/>
      <c r="I12" s="3"/>
      <c r="J12" s="3"/>
      <c r="K12" s="3"/>
      <c r="L12" s="3"/>
      <c r="M12" s="3"/>
      <c r="N12" s="3"/>
      <c r="O12" s="3"/>
      <c r="P12" s="3"/>
      <c r="Q12" s="3"/>
      <c r="R12" s="3"/>
      <c r="S12" s="3"/>
      <c r="T12" s="3"/>
      <c r="U12" s="3"/>
      <c r="V12" s="3"/>
      <c r="W12" s="3"/>
      <c r="X12" s="3"/>
      <c r="Y12" s="3"/>
      <c r="Z12" s="3"/>
    </row>
    <row r="13" customFormat="false" ht="15" hidden="false" customHeight="true" outlineLevel="0" collapsed="false">
      <c r="A13" s="3"/>
      <c r="B13" s="3"/>
      <c r="C13" s="3"/>
      <c r="D13" s="3"/>
      <c r="E13" s="3"/>
      <c r="F13" s="3"/>
      <c r="G13" s="3"/>
      <c r="H13" s="3"/>
      <c r="I13" s="3"/>
      <c r="J13" s="3"/>
      <c r="K13" s="3"/>
      <c r="L13" s="3"/>
      <c r="M13" s="3"/>
      <c r="N13" s="3"/>
      <c r="O13" s="3"/>
      <c r="P13" s="3"/>
      <c r="Q13" s="3"/>
      <c r="R13" s="3"/>
      <c r="S13" s="3"/>
      <c r="T13" s="3"/>
      <c r="U13" s="3"/>
      <c r="V13" s="3"/>
      <c r="W13" s="3"/>
      <c r="X13" s="3"/>
      <c r="Y13" s="3"/>
      <c r="Z13" s="3"/>
    </row>
    <row r="14" customFormat="false" ht="15" hidden="false" customHeight="true" outlineLevel="0" collapsed="false">
      <c r="A14" s="3"/>
      <c r="B14" s="3"/>
      <c r="C14" s="3"/>
      <c r="D14" s="3"/>
      <c r="E14" s="3"/>
      <c r="F14" s="3"/>
      <c r="G14" s="3"/>
      <c r="H14" s="3"/>
      <c r="I14" s="3"/>
      <c r="J14" s="3"/>
      <c r="K14" s="3"/>
      <c r="L14" s="3"/>
      <c r="M14" s="3"/>
      <c r="N14" s="3"/>
      <c r="O14" s="3"/>
      <c r="P14" s="3"/>
      <c r="Q14" s="3"/>
      <c r="R14" s="3"/>
      <c r="S14" s="3"/>
      <c r="T14" s="3"/>
      <c r="U14" s="3"/>
      <c r="V14" s="3"/>
      <c r="W14" s="3"/>
      <c r="X14" s="3"/>
      <c r="Y14" s="3"/>
      <c r="Z14" s="3"/>
    </row>
    <row r="15" customFormat="false" ht="15" hidden="false" customHeight="true" outlineLevel="0" collapsed="false">
      <c r="A15" s="3"/>
      <c r="B15" s="3"/>
      <c r="C15" s="3"/>
      <c r="D15" s="3"/>
      <c r="E15" s="3"/>
      <c r="F15" s="3"/>
      <c r="G15" s="3"/>
      <c r="H15" s="3"/>
      <c r="I15" s="3"/>
      <c r="J15" s="3"/>
      <c r="K15" s="3"/>
      <c r="L15" s="3"/>
      <c r="M15" s="3"/>
      <c r="N15" s="3"/>
      <c r="O15" s="3"/>
      <c r="P15" s="3"/>
      <c r="Q15" s="3"/>
      <c r="R15" s="3"/>
      <c r="S15" s="3"/>
      <c r="T15" s="3"/>
      <c r="U15" s="3"/>
      <c r="V15" s="3"/>
      <c r="W15" s="3"/>
      <c r="X15" s="3"/>
      <c r="Y15" s="3"/>
      <c r="Z15" s="3"/>
    </row>
    <row r="16" customFormat="false" ht="15" hidden="false" customHeight="true" outlineLevel="0" collapsed="false">
      <c r="A16" s="3"/>
      <c r="B16" s="3"/>
      <c r="C16" s="3"/>
      <c r="D16" s="3"/>
      <c r="E16" s="3"/>
      <c r="F16" s="3"/>
      <c r="G16" s="3"/>
      <c r="H16" s="3"/>
      <c r="I16" s="3"/>
      <c r="J16" s="3"/>
      <c r="K16" s="3"/>
      <c r="L16" s="3"/>
      <c r="M16" s="3"/>
      <c r="N16" s="3"/>
      <c r="O16" s="3"/>
      <c r="P16" s="3"/>
      <c r="Q16" s="3"/>
      <c r="R16" s="3"/>
      <c r="S16" s="3"/>
      <c r="T16" s="3"/>
      <c r="U16" s="3"/>
      <c r="V16" s="3"/>
      <c r="W16" s="3"/>
      <c r="X16" s="3"/>
      <c r="Y16" s="3"/>
      <c r="Z16" s="3"/>
    </row>
    <row r="17" customFormat="false" ht="15" hidden="false" customHeight="true" outlineLevel="0" collapsed="false">
      <c r="A17" s="3"/>
      <c r="B17" s="3"/>
      <c r="C17" s="3"/>
      <c r="D17" s="3"/>
      <c r="E17" s="3"/>
      <c r="F17" s="3"/>
      <c r="G17" s="3"/>
      <c r="H17" s="3"/>
      <c r="I17" s="3"/>
      <c r="J17" s="3"/>
      <c r="K17" s="3"/>
      <c r="L17" s="3"/>
      <c r="M17" s="3"/>
      <c r="N17" s="3"/>
      <c r="O17" s="3"/>
      <c r="P17" s="3"/>
      <c r="Q17" s="3"/>
      <c r="R17" s="3"/>
      <c r="S17" s="3"/>
      <c r="T17" s="3"/>
      <c r="U17" s="3"/>
      <c r="V17" s="3"/>
      <c r="W17" s="3"/>
      <c r="X17" s="3"/>
      <c r="Y17" s="3"/>
      <c r="Z17" s="3"/>
    </row>
    <row r="18" customFormat="false" ht="15" hidden="false" customHeight="true" outlineLevel="0" collapsed="false">
      <c r="A18" s="3"/>
      <c r="B18" s="3"/>
      <c r="C18" s="3"/>
      <c r="D18" s="3"/>
      <c r="E18" s="3"/>
      <c r="F18" s="3"/>
      <c r="G18" s="3"/>
      <c r="H18" s="3"/>
      <c r="I18" s="3"/>
      <c r="J18" s="3"/>
      <c r="K18" s="3"/>
      <c r="L18" s="3"/>
      <c r="M18" s="3"/>
      <c r="N18" s="3"/>
      <c r="O18" s="3"/>
      <c r="P18" s="3"/>
      <c r="Q18" s="3"/>
      <c r="R18" s="3"/>
      <c r="S18" s="3"/>
      <c r="T18" s="3"/>
      <c r="U18" s="3"/>
      <c r="V18" s="3"/>
      <c r="W18" s="3"/>
      <c r="X18" s="3"/>
      <c r="Y18" s="3"/>
      <c r="Z18" s="3"/>
    </row>
    <row r="19" customFormat="false" ht="15" hidden="false" customHeight="true" outlineLevel="0" collapsed="false">
      <c r="A19" s="3"/>
      <c r="B19" s="3"/>
      <c r="C19" s="3"/>
      <c r="D19" s="3"/>
      <c r="E19" s="3"/>
      <c r="F19" s="3"/>
      <c r="G19" s="3"/>
      <c r="H19" s="3"/>
      <c r="I19" s="3"/>
      <c r="J19" s="3"/>
      <c r="K19" s="3"/>
      <c r="L19" s="3"/>
      <c r="M19" s="3"/>
      <c r="N19" s="3"/>
      <c r="O19" s="3"/>
      <c r="P19" s="3"/>
      <c r="Q19" s="3"/>
      <c r="R19" s="3"/>
      <c r="S19" s="3"/>
      <c r="T19" s="3"/>
      <c r="U19" s="3"/>
      <c r="V19" s="3"/>
      <c r="W19" s="3"/>
      <c r="X19" s="3"/>
      <c r="Y19" s="3"/>
      <c r="Z19" s="3"/>
    </row>
    <row r="20" customFormat="false" ht="15" hidden="false" customHeight="true" outlineLevel="0" collapsed="false">
      <c r="A20" s="3"/>
      <c r="B20" s="3"/>
      <c r="C20" s="3"/>
      <c r="D20" s="3"/>
      <c r="E20" s="3"/>
      <c r="F20" s="3"/>
      <c r="G20" s="3"/>
      <c r="H20" s="3"/>
      <c r="I20" s="3"/>
      <c r="J20" s="3"/>
      <c r="K20" s="3"/>
      <c r="L20" s="3"/>
      <c r="M20" s="3"/>
      <c r="N20" s="3"/>
      <c r="O20" s="3"/>
      <c r="P20" s="3"/>
      <c r="Q20" s="3"/>
      <c r="R20" s="3"/>
      <c r="S20" s="3"/>
      <c r="T20" s="3"/>
      <c r="U20" s="3"/>
      <c r="V20" s="3"/>
      <c r="W20" s="3"/>
      <c r="X20" s="3"/>
      <c r="Y20" s="3"/>
      <c r="Z20" s="3"/>
    </row>
    <row r="21" customFormat="false" ht="15.75" hidden="false" customHeight="true" outlineLevel="0" collapsed="false">
      <c r="A21" s="3"/>
      <c r="B21" s="3"/>
      <c r="C21" s="3"/>
      <c r="D21" s="3"/>
      <c r="E21" s="3"/>
      <c r="F21" s="3"/>
      <c r="G21" s="3"/>
      <c r="H21" s="3"/>
      <c r="I21" s="3"/>
      <c r="J21" s="3"/>
      <c r="K21" s="3"/>
      <c r="L21" s="3"/>
      <c r="M21" s="3"/>
      <c r="N21" s="3"/>
      <c r="O21" s="3"/>
      <c r="P21" s="3"/>
      <c r="Q21" s="3"/>
      <c r="R21" s="3"/>
      <c r="S21" s="3"/>
      <c r="T21" s="3"/>
      <c r="U21" s="3"/>
      <c r="V21" s="3"/>
      <c r="W21" s="3"/>
      <c r="X21" s="3"/>
      <c r="Y21" s="3"/>
      <c r="Z21" s="3"/>
    </row>
    <row r="22" customFormat="false" ht="15.75" hidden="false" customHeight="true" outlineLevel="0" collapsed="false">
      <c r="A22" s="3"/>
      <c r="B22" s="3"/>
      <c r="C22" s="3"/>
      <c r="D22" s="3"/>
      <c r="E22" s="3"/>
      <c r="F22" s="3"/>
      <c r="G22" s="3"/>
      <c r="H22" s="3"/>
      <c r="I22" s="3"/>
      <c r="J22" s="3"/>
      <c r="K22" s="3"/>
      <c r="L22" s="3"/>
      <c r="M22" s="3"/>
      <c r="N22" s="3"/>
      <c r="O22" s="3"/>
      <c r="P22" s="3"/>
      <c r="Q22" s="3"/>
      <c r="R22" s="3"/>
      <c r="S22" s="3"/>
      <c r="T22" s="3"/>
      <c r="U22" s="3"/>
      <c r="V22" s="3"/>
      <c r="W22" s="3"/>
      <c r="X22" s="3"/>
      <c r="Y22" s="3"/>
      <c r="Z22" s="3"/>
    </row>
    <row r="23" customFormat="false" ht="15.75" hidden="false" customHeight="true" outlineLevel="0" collapsed="false">
      <c r="A23" s="3"/>
      <c r="B23" s="3"/>
      <c r="C23" s="3"/>
      <c r="D23" s="3"/>
      <c r="E23" s="3"/>
      <c r="F23" s="3"/>
      <c r="G23" s="3"/>
      <c r="H23" s="3"/>
      <c r="I23" s="3"/>
      <c r="J23" s="3"/>
      <c r="K23" s="3"/>
      <c r="L23" s="3"/>
      <c r="M23" s="3"/>
      <c r="N23" s="3"/>
      <c r="O23" s="3"/>
      <c r="P23" s="3"/>
      <c r="Q23" s="3"/>
      <c r="R23" s="3"/>
      <c r="S23" s="3"/>
      <c r="T23" s="3"/>
      <c r="U23" s="3"/>
      <c r="V23" s="3"/>
      <c r="W23" s="3"/>
      <c r="X23" s="3"/>
      <c r="Y23" s="3"/>
      <c r="Z23" s="3"/>
    </row>
    <row r="24" customFormat="false" ht="15.75" hidden="false" customHeight="true" outlineLevel="0" collapsed="false">
      <c r="A24" s="3"/>
      <c r="B24" s="3"/>
      <c r="C24" s="3"/>
      <c r="D24" s="3"/>
      <c r="E24" s="3"/>
      <c r="F24" s="3"/>
      <c r="G24" s="3"/>
      <c r="H24" s="3"/>
      <c r="I24" s="3"/>
      <c r="J24" s="3"/>
      <c r="K24" s="3"/>
      <c r="L24" s="3"/>
      <c r="M24" s="3"/>
      <c r="N24" s="3"/>
      <c r="O24" s="3"/>
      <c r="P24" s="3"/>
      <c r="Q24" s="3"/>
      <c r="R24" s="3"/>
      <c r="S24" s="3"/>
      <c r="T24" s="3"/>
      <c r="U24" s="3"/>
      <c r="V24" s="3"/>
      <c r="W24" s="3"/>
      <c r="X24" s="3"/>
      <c r="Y24" s="3"/>
      <c r="Z24" s="3"/>
    </row>
    <row r="25" customFormat="false" ht="15.75" hidden="false" customHeight="true" outlineLevel="0" collapsed="false">
      <c r="A25" s="3"/>
      <c r="B25" s="3"/>
      <c r="C25" s="3"/>
      <c r="D25" s="3"/>
      <c r="E25" s="3"/>
      <c r="F25" s="3"/>
      <c r="G25" s="3"/>
      <c r="H25" s="3"/>
      <c r="I25" s="3"/>
      <c r="J25" s="3"/>
      <c r="K25" s="3"/>
      <c r="L25" s="3"/>
      <c r="M25" s="3"/>
      <c r="N25" s="3"/>
      <c r="O25" s="3"/>
      <c r="P25" s="3"/>
      <c r="Q25" s="3"/>
      <c r="R25" s="3"/>
      <c r="S25" s="3"/>
      <c r="T25" s="3"/>
      <c r="U25" s="3"/>
      <c r="V25" s="3"/>
      <c r="W25" s="3"/>
      <c r="X25" s="3"/>
      <c r="Y25" s="3"/>
      <c r="Z25" s="3"/>
    </row>
    <row r="26" customFormat="false" ht="15.75" hidden="false" customHeight="true" outlineLevel="0" collapsed="false">
      <c r="A26" s="3"/>
      <c r="B26" s="3"/>
      <c r="C26" s="3"/>
      <c r="D26" s="3"/>
      <c r="E26" s="3"/>
      <c r="F26" s="3"/>
      <c r="G26" s="3"/>
      <c r="H26" s="3"/>
      <c r="I26" s="3"/>
      <c r="J26" s="3"/>
      <c r="K26" s="3"/>
      <c r="L26" s="3"/>
      <c r="M26" s="3"/>
      <c r="N26" s="3"/>
      <c r="O26" s="3"/>
      <c r="P26" s="3"/>
      <c r="Q26" s="3"/>
      <c r="R26" s="3"/>
      <c r="S26" s="3"/>
      <c r="T26" s="3"/>
      <c r="U26" s="3"/>
      <c r="V26" s="3"/>
      <c r="W26" s="3"/>
      <c r="X26" s="3"/>
      <c r="Y26" s="3"/>
      <c r="Z26" s="3"/>
    </row>
    <row r="27" customFormat="false" ht="15.75" hidden="false" customHeight="true" outlineLevel="0" collapsed="false">
      <c r="A27" s="3"/>
      <c r="B27" s="3"/>
      <c r="C27" s="3"/>
      <c r="D27" s="3"/>
      <c r="E27" s="3"/>
      <c r="F27" s="3"/>
      <c r="G27" s="3"/>
      <c r="H27" s="3"/>
      <c r="I27" s="3"/>
      <c r="J27" s="3"/>
      <c r="K27" s="3"/>
      <c r="L27" s="3"/>
      <c r="M27" s="3"/>
      <c r="N27" s="3"/>
      <c r="O27" s="3"/>
      <c r="P27" s="3"/>
      <c r="Q27" s="3"/>
      <c r="R27" s="3"/>
      <c r="S27" s="3"/>
      <c r="T27" s="3"/>
      <c r="U27" s="3"/>
      <c r="V27" s="3"/>
      <c r="W27" s="3"/>
      <c r="X27" s="3"/>
      <c r="Y27" s="3"/>
      <c r="Z27" s="3"/>
    </row>
    <row r="28" customFormat="false" ht="15.75" hidden="false" customHeight="true" outlineLevel="0" collapsed="false">
      <c r="A28" s="3"/>
      <c r="B28" s="3"/>
      <c r="C28" s="3"/>
      <c r="D28" s="3"/>
      <c r="E28" s="3"/>
      <c r="F28" s="3"/>
      <c r="G28" s="3"/>
      <c r="H28" s="3"/>
      <c r="I28" s="3"/>
      <c r="J28" s="3"/>
      <c r="K28" s="3"/>
      <c r="L28" s="3"/>
      <c r="M28" s="3"/>
      <c r="N28" s="3"/>
      <c r="O28" s="3"/>
      <c r="P28" s="3"/>
      <c r="Q28" s="3"/>
      <c r="R28" s="3"/>
      <c r="S28" s="3"/>
      <c r="T28" s="3"/>
      <c r="U28" s="3"/>
      <c r="V28" s="3"/>
      <c r="W28" s="3"/>
      <c r="X28" s="3"/>
      <c r="Y28" s="3"/>
      <c r="Z28" s="3"/>
    </row>
    <row r="29" customFormat="false" ht="15.75" hidden="false" customHeight="true" outlineLevel="0" collapsed="false">
      <c r="A29" s="3"/>
      <c r="B29" s="3"/>
      <c r="C29" s="3"/>
      <c r="D29" s="3"/>
      <c r="E29" s="3"/>
      <c r="F29" s="3"/>
      <c r="G29" s="3"/>
      <c r="H29" s="3"/>
      <c r="I29" s="3"/>
      <c r="J29" s="3"/>
      <c r="K29" s="3"/>
      <c r="L29" s="3"/>
      <c r="M29" s="3"/>
      <c r="N29" s="3"/>
      <c r="O29" s="3"/>
      <c r="P29" s="3"/>
      <c r="Q29" s="3"/>
      <c r="R29" s="3"/>
      <c r="S29" s="3"/>
      <c r="T29" s="3"/>
      <c r="U29" s="3"/>
      <c r="V29" s="3"/>
      <c r="W29" s="3"/>
      <c r="X29" s="3"/>
      <c r="Y29" s="3"/>
      <c r="Z29" s="3"/>
    </row>
    <row r="30" customFormat="false" ht="15.75" hidden="false" customHeight="true" outlineLevel="0" collapsed="false">
      <c r="A30" s="3"/>
      <c r="B30" s="3"/>
      <c r="C30" s="3"/>
      <c r="D30" s="3"/>
      <c r="E30" s="3"/>
      <c r="F30" s="3"/>
      <c r="G30" s="3"/>
      <c r="H30" s="3"/>
      <c r="I30" s="3"/>
      <c r="J30" s="3"/>
      <c r="K30" s="3"/>
      <c r="L30" s="3"/>
      <c r="M30" s="3"/>
      <c r="N30" s="3"/>
      <c r="O30" s="3"/>
      <c r="P30" s="3"/>
      <c r="Q30" s="3"/>
      <c r="R30" s="3"/>
      <c r="S30" s="3"/>
      <c r="T30" s="3"/>
      <c r="U30" s="3"/>
      <c r="V30" s="3"/>
      <c r="W30" s="3"/>
      <c r="X30" s="3"/>
      <c r="Y30" s="3"/>
      <c r="Z30" s="3"/>
    </row>
    <row r="31" customFormat="false" ht="15.75" hidden="false" customHeight="true" outlineLevel="0" collapsed="false">
      <c r="A31" s="3"/>
      <c r="B31" s="3"/>
      <c r="C31" s="3"/>
      <c r="D31" s="3"/>
      <c r="E31" s="3"/>
      <c r="F31" s="3"/>
      <c r="G31" s="3"/>
      <c r="H31" s="3"/>
      <c r="I31" s="3"/>
      <c r="J31" s="3"/>
      <c r="K31" s="3"/>
      <c r="L31" s="3"/>
      <c r="M31" s="3"/>
      <c r="N31" s="3"/>
      <c r="O31" s="3"/>
      <c r="P31" s="3"/>
      <c r="Q31" s="3"/>
      <c r="R31" s="3"/>
      <c r="S31" s="3"/>
      <c r="T31" s="3"/>
      <c r="U31" s="3"/>
      <c r="V31" s="3"/>
      <c r="W31" s="3"/>
      <c r="X31" s="3"/>
      <c r="Y31" s="3"/>
      <c r="Z31" s="3"/>
    </row>
    <row r="32" customFormat="false" ht="15.75" hidden="false" customHeight="true" outlineLevel="0" collapsed="false">
      <c r="A32" s="3"/>
      <c r="B32" s="3"/>
      <c r="C32" s="3"/>
      <c r="D32" s="3"/>
      <c r="E32" s="3"/>
      <c r="F32" s="3"/>
      <c r="G32" s="3"/>
      <c r="H32" s="3"/>
      <c r="I32" s="3"/>
      <c r="J32" s="3"/>
      <c r="K32" s="3"/>
      <c r="L32" s="3"/>
      <c r="M32" s="3"/>
      <c r="N32" s="3"/>
      <c r="O32" s="3"/>
      <c r="P32" s="3"/>
      <c r="Q32" s="3"/>
      <c r="R32" s="3"/>
      <c r="S32" s="3"/>
      <c r="T32" s="3"/>
      <c r="U32" s="3"/>
      <c r="V32" s="3"/>
      <c r="W32" s="3"/>
      <c r="X32" s="3"/>
      <c r="Y32" s="3"/>
      <c r="Z32" s="3"/>
    </row>
    <row r="33" customFormat="false" ht="15.75" hidden="false" customHeight="true" outlineLevel="0" collapsed="false">
      <c r="A33" s="3"/>
      <c r="B33" s="3"/>
      <c r="C33" s="3"/>
      <c r="D33" s="3"/>
      <c r="E33" s="3"/>
      <c r="F33" s="3"/>
      <c r="G33" s="3"/>
      <c r="H33" s="3"/>
      <c r="I33" s="3"/>
      <c r="J33" s="3"/>
      <c r="K33" s="3"/>
      <c r="L33" s="3"/>
      <c r="M33" s="3"/>
      <c r="N33" s="3"/>
      <c r="O33" s="3"/>
      <c r="P33" s="3"/>
      <c r="Q33" s="3"/>
      <c r="R33" s="3"/>
      <c r="S33" s="3"/>
      <c r="T33" s="3"/>
      <c r="U33" s="3"/>
      <c r="V33" s="3"/>
      <c r="W33" s="3"/>
      <c r="X33" s="3"/>
      <c r="Y33" s="3"/>
      <c r="Z33" s="3"/>
    </row>
    <row r="34" customFormat="false" ht="15.75" hidden="false" customHeight="true" outlineLevel="0" collapsed="false">
      <c r="A34" s="3"/>
      <c r="B34" s="3"/>
      <c r="C34" s="3"/>
      <c r="D34" s="3"/>
      <c r="E34" s="3"/>
      <c r="F34" s="3"/>
      <c r="G34" s="3"/>
      <c r="H34" s="3"/>
      <c r="I34" s="3"/>
      <c r="J34" s="3"/>
      <c r="K34" s="3"/>
      <c r="L34" s="3"/>
      <c r="M34" s="3"/>
      <c r="N34" s="3"/>
      <c r="O34" s="3"/>
      <c r="P34" s="3"/>
      <c r="Q34" s="3"/>
      <c r="R34" s="3"/>
      <c r="S34" s="3"/>
      <c r="T34" s="3"/>
      <c r="U34" s="3"/>
      <c r="V34" s="3"/>
      <c r="W34" s="3"/>
      <c r="X34" s="3"/>
      <c r="Y34" s="3"/>
      <c r="Z34" s="3"/>
    </row>
    <row r="35" customFormat="false" ht="15.75" hidden="false" customHeight="true" outlineLevel="0" collapsed="false">
      <c r="A35" s="3"/>
      <c r="B35" s="3"/>
      <c r="C35" s="3"/>
      <c r="D35" s="3"/>
      <c r="E35" s="3"/>
      <c r="F35" s="3"/>
      <c r="G35" s="3"/>
      <c r="H35" s="3"/>
      <c r="I35" s="3"/>
      <c r="J35" s="3"/>
      <c r="K35" s="3"/>
      <c r="L35" s="3"/>
      <c r="M35" s="3"/>
      <c r="N35" s="3"/>
      <c r="O35" s="3"/>
      <c r="P35" s="3"/>
      <c r="Q35" s="3"/>
      <c r="R35" s="3"/>
      <c r="S35" s="3"/>
      <c r="T35" s="3"/>
      <c r="U35" s="3"/>
      <c r="V35" s="3"/>
      <c r="W35" s="3"/>
      <c r="X35" s="3"/>
      <c r="Y35" s="3"/>
      <c r="Z35" s="3"/>
    </row>
    <row r="36" customFormat="false" ht="15.75" hidden="false" customHeight="true" outlineLevel="0" collapsed="false">
      <c r="A36" s="3"/>
      <c r="B36" s="3"/>
      <c r="C36" s="3"/>
      <c r="D36" s="3"/>
      <c r="E36" s="3"/>
      <c r="F36" s="3"/>
      <c r="G36" s="3"/>
      <c r="H36" s="3"/>
      <c r="I36" s="3"/>
      <c r="J36" s="3"/>
      <c r="K36" s="3"/>
      <c r="L36" s="3"/>
      <c r="M36" s="3"/>
      <c r="N36" s="3"/>
      <c r="O36" s="3"/>
      <c r="P36" s="3"/>
      <c r="Q36" s="3"/>
      <c r="R36" s="3"/>
      <c r="S36" s="3"/>
      <c r="T36" s="3"/>
      <c r="U36" s="3"/>
      <c r="V36" s="3"/>
      <c r="W36" s="3"/>
      <c r="X36" s="3"/>
      <c r="Y36" s="3"/>
      <c r="Z36" s="3"/>
    </row>
    <row r="37" customFormat="false" ht="15.75" hidden="false" customHeight="true" outlineLevel="0" collapsed="false">
      <c r="A37" s="3"/>
      <c r="B37" s="3"/>
      <c r="C37" s="3"/>
      <c r="D37" s="3"/>
      <c r="E37" s="3"/>
      <c r="F37" s="3"/>
      <c r="G37" s="3"/>
      <c r="H37" s="3"/>
      <c r="I37" s="3"/>
      <c r="J37" s="3"/>
      <c r="K37" s="3"/>
      <c r="L37" s="3"/>
      <c r="M37" s="3"/>
      <c r="N37" s="3"/>
      <c r="O37" s="3"/>
      <c r="P37" s="3"/>
      <c r="Q37" s="3"/>
      <c r="R37" s="3"/>
      <c r="S37" s="3"/>
      <c r="T37" s="3"/>
      <c r="U37" s="3"/>
      <c r="V37" s="3"/>
      <c r="W37" s="3"/>
      <c r="X37" s="3"/>
      <c r="Y37" s="3"/>
      <c r="Z37" s="3"/>
    </row>
    <row r="38" customFormat="false" ht="15.75" hidden="false" customHeight="true" outlineLevel="0" collapsed="false">
      <c r="A38" s="3"/>
      <c r="B38" s="3"/>
      <c r="C38" s="3"/>
      <c r="D38" s="3"/>
      <c r="E38" s="3"/>
      <c r="F38" s="3"/>
      <c r="G38" s="3"/>
      <c r="H38" s="3"/>
      <c r="I38" s="3"/>
      <c r="J38" s="3"/>
      <c r="K38" s="3"/>
      <c r="L38" s="3"/>
      <c r="M38" s="3"/>
      <c r="N38" s="3"/>
      <c r="O38" s="3"/>
      <c r="P38" s="3"/>
      <c r="Q38" s="3"/>
      <c r="R38" s="3"/>
      <c r="S38" s="3"/>
      <c r="T38" s="3"/>
      <c r="U38" s="3"/>
      <c r="V38" s="3"/>
      <c r="W38" s="3"/>
      <c r="X38" s="3"/>
      <c r="Y38" s="3"/>
      <c r="Z38" s="3"/>
    </row>
    <row r="39" customFormat="false" ht="15.75" hidden="false" customHeight="true" outlineLevel="0" collapsed="false">
      <c r="A39" s="3"/>
      <c r="B39" s="3"/>
      <c r="C39" s="3"/>
      <c r="D39" s="3"/>
      <c r="E39" s="3"/>
      <c r="F39" s="3"/>
      <c r="G39" s="3"/>
      <c r="H39" s="3"/>
      <c r="I39" s="3"/>
      <c r="J39" s="3"/>
      <c r="K39" s="3"/>
      <c r="L39" s="3"/>
      <c r="M39" s="3"/>
      <c r="N39" s="3"/>
      <c r="O39" s="3"/>
      <c r="P39" s="3"/>
      <c r="Q39" s="3"/>
      <c r="R39" s="3"/>
      <c r="S39" s="3"/>
      <c r="T39" s="3"/>
      <c r="U39" s="3"/>
      <c r="V39" s="3"/>
      <c r="W39" s="3"/>
      <c r="X39" s="3"/>
      <c r="Y39" s="3"/>
      <c r="Z39" s="3"/>
    </row>
    <row r="40" customFormat="false" ht="15.75" hidden="false" customHeight="true" outlineLevel="0" collapsed="false">
      <c r="A40" s="3"/>
      <c r="B40" s="3"/>
      <c r="C40" s="3"/>
      <c r="D40" s="3"/>
      <c r="E40" s="3"/>
      <c r="F40" s="3"/>
      <c r="G40" s="3"/>
      <c r="H40" s="3"/>
      <c r="I40" s="3"/>
      <c r="J40" s="3"/>
      <c r="K40" s="3"/>
      <c r="L40" s="3"/>
      <c r="M40" s="3"/>
      <c r="N40" s="3"/>
      <c r="O40" s="3"/>
      <c r="P40" s="3"/>
      <c r="Q40" s="3"/>
      <c r="R40" s="3"/>
      <c r="S40" s="3"/>
      <c r="T40" s="3"/>
      <c r="U40" s="3"/>
      <c r="V40" s="3"/>
      <c r="W40" s="3"/>
      <c r="X40" s="3"/>
      <c r="Y40" s="3"/>
      <c r="Z40" s="3"/>
    </row>
    <row r="41" customFormat="false" ht="15.75" hidden="false" customHeight="true" outlineLevel="0" collapsed="false">
      <c r="A41" s="3"/>
      <c r="B41" s="3"/>
      <c r="C41" s="3"/>
      <c r="D41" s="3"/>
      <c r="E41" s="3"/>
      <c r="F41" s="3"/>
      <c r="G41" s="3"/>
      <c r="H41" s="3"/>
      <c r="I41" s="3"/>
      <c r="J41" s="3"/>
      <c r="K41" s="3"/>
      <c r="L41" s="3"/>
      <c r="M41" s="3"/>
      <c r="N41" s="3"/>
      <c r="O41" s="3"/>
      <c r="P41" s="3"/>
      <c r="Q41" s="3"/>
      <c r="R41" s="3"/>
      <c r="S41" s="3"/>
      <c r="T41" s="3"/>
      <c r="U41" s="3"/>
      <c r="V41" s="3"/>
      <c r="W41" s="3"/>
      <c r="X41" s="3"/>
      <c r="Y41" s="3"/>
      <c r="Z41" s="3"/>
    </row>
    <row r="42" customFormat="false" ht="15.75" hidden="false" customHeight="true" outlineLevel="0" collapsed="false">
      <c r="A42" s="3"/>
      <c r="B42" s="3"/>
      <c r="C42" s="3"/>
      <c r="D42" s="3"/>
      <c r="E42" s="3"/>
      <c r="F42" s="3"/>
      <c r="G42" s="3"/>
      <c r="H42" s="3"/>
      <c r="I42" s="3"/>
      <c r="J42" s="3"/>
      <c r="K42" s="3"/>
      <c r="L42" s="3"/>
      <c r="M42" s="3"/>
      <c r="N42" s="3"/>
      <c r="O42" s="3"/>
      <c r="P42" s="3"/>
      <c r="Q42" s="3"/>
      <c r="R42" s="3"/>
      <c r="S42" s="3"/>
      <c r="T42" s="3"/>
      <c r="U42" s="3"/>
      <c r="V42" s="3"/>
      <c r="W42" s="3"/>
      <c r="X42" s="3"/>
      <c r="Y42" s="3"/>
      <c r="Z42" s="3"/>
    </row>
    <row r="43" customFormat="false" ht="15.75" hidden="false" customHeight="true" outlineLevel="0" collapsed="false">
      <c r="A43" s="3"/>
      <c r="B43" s="3"/>
      <c r="C43" s="3"/>
      <c r="D43" s="3"/>
      <c r="E43" s="3"/>
      <c r="F43" s="3"/>
      <c r="G43" s="3"/>
      <c r="H43" s="3"/>
      <c r="I43" s="3"/>
      <c r="J43" s="3"/>
      <c r="K43" s="3"/>
      <c r="L43" s="3"/>
      <c r="M43" s="3"/>
      <c r="N43" s="3"/>
      <c r="O43" s="3"/>
      <c r="P43" s="3"/>
      <c r="Q43" s="3"/>
      <c r="R43" s="3"/>
      <c r="S43" s="3"/>
      <c r="T43" s="3"/>
      <c r="U43" s="3"/>
      <c r="V43" s="3"/>
      <c r="W43" s="3"/>
      <c r="X43" s="3"/>
      <c r="Y43" s="3"/>
      <c r="Z43" s="3"/>
    </row>
    <row r="44" customFormat="false" ht="15.75" hidden="false" customHeight="true" outlineLevel="0" collapsed="false">
      <c r="A44" s="3"/>
      <c r="B44" s="3"/>
      <c r="C44" s="3"/>
      <c r="D44" s="3"/>
      <c r="E44" s="3"/>
      <c r="F44" s="3"/>
      <c r="G44" s="3"/>
      <c r="H44" s="3"/>
      <c r="I44" s="3"/>
      <c r="J44" s="3"/>
      <c r="K44" s="3"/>
      <c r="L44" s="3"/>
      <c r="M44" s="3"/>
      <c r="N44" s="3"/>
      <c r="O44" s="3"/>
      <c r="P44" s="3"/>
      <c r="Q44" s="3"/>
      <c r="R44" s="3"/>
      <c r="S44" s="3"/>
      <c r="T44" s="3"/>
      <c r="U44" s="3"/>
      <c r="V44" s="3"/>
      <c r="W44" s="3"/>
      <c r="X44" s="3"/>
      <c r="Y44" s="3"/>
      <c r="Z44" s="3"/>
    </row>
    <row r="45" customFormat="false" ht="15.75" hidden="false" customHeight="true" outlineLevel="0" collapsed="false">
      <c r="A45" s="3"/>
      <c r="B45" s="3"/>
      <c r="C45" s="3"/>
      <c r="D45" s="3"/>
      <c r="E45" s="3"/>
      <c r="F45" s="3"/>
      <c r="G45" s="3"/>
      <c r="H45" s="3"/>
      <c r="I45" s="3"/>
      <c r="J45" s="3"/>
      <c r="K45" s="3"/>
      <c r="L45" s="3"/>
      <c r="M45" s="3"/>
      <c r="N45" s="3"/>
      <c r="O45" s="3"/>
      <c r="P45" s="3"/>
      <c r="Q45" s="3"/>
      <c r="R45" s="3"/>
      <c r="S45" s="3"/>
      <c r="T45" s="3"/>
      <c r="U45" s="3"/>
      <c r="V45" s="3"/>
      <c r="W45" s="3"/>
      <c r="X45" s="3"/>
      <c r="Y45" s="3"/>
      <c r="Z45" s="3"/>
    </row>
    <row r="46" customFormat="false" ht="15.75" hidden="false" customHeight="true" outlineLevel="0" collapsed="false">
      <c r="A46" s="3"/>
      <c r="B46" s="3"/>
      <c r="C46" s="3"/>
      <c r="D46" s="3"/>
      <c r="E46" s="3"/>
      <c r="F46" s="3"/>
      <c r="G46" s="3"/>
      <c r="H46" s="3"/>
      <c r="I46" s="3"/>
      <c r="J46" s="3"/>
      <c r="K46" s="3"/>
      <c r="L46" s="3"/>
      <c r="M46" s="3"/>
      <c r="N46" s="3"/>
      <c r="O46" s="3"/>
      <c r="P46" s="3"/>
      <c r="Q46" s="3"/>
      <c r="R46" s="3"/>
      <c r="S46" s="3"/>
      <c r="T46" s="3"/>
      <c r="U46" s="3"/>
      <c r="V46" s="3"/>
      <c r="W46" s="3"/>
      <c r="X46" s="3"/>
      <c r="Y46" s="3"/>
      <c r="Z46" s="3"/>
    </row>
    <row r="47" customFormat="false" ht="15.75" hidden="false" customHeight="true" outlineLevel="0" collapsed="false">
      <c r="A47" s="3"/>
      <c r="B47" s="3"/>
      <c r="C47" s="3"/>
      <c r="D47" s="3"/>
      <c r="E47" s="3"/>
      <c r="F47" s="3"/>
      <c r="G47" s="3"/>
      <c r="H47" s="3"/>
      <c r="I47" s="3"/>
      <c r="J47" s="3"/>
      <c r="K47" s="3"/>
      <c r="L47" s="3"/>
      <c r="M47" s="3"/>
      <c r="N47" s="3"/>
      <c r="O47" s="3"/>
      <c r="P47" s="3"/>
      <c r="Q47" s="3"/>
      <c r="R47" s="3"/>
      <c r="S47" s="3"/>
      <c r="T47" s="3"/>
      <c r="U47" s="3"/>
      <c r="V47" s="3"/>
      <c r="W47" s="3"/>
      <c r="X47" s="3"/>
      <c r="Y47" s="3"/>
      <c r="Z47" s="3"/>
    </row>
    <row r="48" customFormat="false" ht="15.75" hidden="false" customHeight="true" outlineLevel="0" collapsed="false">
      <c r="A48" s="3"/>
      <c r="B48" s="3"/>
      <c r="C48" s="3"/>
      <c r="D48" s="3"/>
      <c r="E48" s="3"/>
      <c r="F48" s="3"/>
      <c r="G48" s="3"/>
      <c r="H48" s="3"/>
      <c r="I48" s="3"/>
      <c r="J48" s="3"/>
      <c r="K48" s="3"/>
      <c r="L48" s="3"/>
      <c r="M48" s="3"/>
      <c r="N48" s="3"/>
      <c r="O48" s="3"/>
      <c r="P48" s="3"/>
      <c r="Q48" s="3"/>
      <c r="R48" s="3"/>
      <c r="S48" s="3"/>
      <c r="T48" s="3"/>
      <c r="U48" s="3"/>
      <c r="V48" s="3"/>
      <c r="W48" s="3"/>
      <c r="X48" s="3"/>
      <c r="Y48" s="3"/>
      <c r="Z48" s="3"/>
    </row>
    <row r="49" customFormat="false" ht="15.75" hidden="false" customHeight="true" outlineLevel="0" collapsed="false">
      <c r="A49" s="3"/>
      <c r="B49" s="3"/>
      <c r="C49" s="3"/>
      <c r="D49" s="3"/>
      <c r="E49" s="3"/>
      <c r="F49" s="3"/>
      <c r="G49" s="3"/>
      <c r="H49" s="3"/>
      <c r="I49" s="3"/>
      <c r="J49" s="3"/>
      <c r="K49" s="3"/>
      <c r="L49" s="3"/>
      <c r="M49" s="3"/>
      <c r="N49" s="3"/>
      <c r="O49" s="3"/>
      <c r="P49" s="3"/>
      <c r="Q49" s="3"/>
      <c r="R49" s="3"/>
      <c r="S49" s="3"/>
      <c r="T49" s="3"/>
      <c r="U49" s="3"/>
      <c r="V49" s="3"/>
      <c r="W49" s="3"/>
      <c r="X49" s="3"/>
      <c r="Y49" s="3"/>
      <c r="Z49" s="3"/>
    </row>
    <row r="50" customFormat="false" ht="15.75" hidden="false" customHeight="true" outlineLevel="0" collapsed="false">
      <c r="A50" s="3"/>
      <c r="B50" s="3"/>
      <c r="C50" s="3"/>
      <c r="D50" s="3"/>
      <c r="E50" s="3"/>
      <c r="F50" s="3"/>
      <c r="G50" s="3"/>
      <c r="H50" s="3"/>
      <c r="I50" s="3"/>
      <c r="J50" s="3"/>
      <c r="K50" s="3"/>
      <c r="L50" s="3"/>
      <c r="M50" s="3"/>
      <c r="N50" s="3"/>
      <c r="O50" s="3"/>
      <c r="P50" s="3"/>
      <c r="Q50" s="3"/>
      <c r="R50" s="3"/>
      <c r="S50" s="3"/>
      <c r="T50" s="3"/>
      <c r="U50" s="3"/>
      <c r="V50" s="3"/>
      <c r="W50" s="3"/>
      <c r="X50" s="3"/>
      <c r="Y50" s="3"/>
      <c r="Z50" s="3"/>
    </row>
    <row r="51" customFormat="false" ht="15.75" hidden="false" customHeight="true" outlineLevel="0" collapsed="false">
      <c r="A51" s="3"/>
      <c r="B51" s="3"/>
      <c r="C51" s="3"/>
      <c r="D51" s="3"/>
      <c r="E51" s="3"/>
      <c r="F51" s="3"/>
      <c r="G51" s="3"/>
      <c r="H51" s="3"/>
      <c r="I51" s="3"/>
      <c r="J51" s="3"/>
      <c r="K51" s="3"/>
      <c r="L51" s="3"/>
      <c r="M51" s="3"/>
      <c r="N51" s="3"/>
      <c r="O51" s="3"/>
      <c r="P51" s="3"/>
      <c r="Q51" s="3"/>
      <c r="R51" s="3"/>
      <c r="S51" s="3"/>
      <c r="T51" s="3"/>
      <c r="U51" s="3"/>
      <c r="V51" s="3"/>
      <c r="W51" s="3"/>
      <c r="X51" s="3"/>
      <c r="Y51" s="3"/>
      <c r="Z51" s="3"/>
    </row>
    <row r="52" customFormat="false" ht="15.75" hidden="false" customHeight="true" outlineLevel="0" collapsed="false">
      <c r="A52" s="3"/>
      <c r="B52" s="3"/>
      <c r="C52" s="3"/>
      <c r="D52" s="3"/>
      <c r="E52" s="3"/>
      <c r="F52" s="3"/>
      <c r="G52" s="3"/>
      <c r="H52" s="3"/>
      <c r="I52" s="3"/>
      <c r="J52" s="3"/>
      <c r="K52" s="3"/>
      <c r="L52" s="3"/>
      <c r="M52" s="3"/>
      <c r="N52" s="3"/>
      <c r="O52" s="3"/>
      <c r="P52" s="3"/>
      <c r="Q52" s="3"/>
      <c r="R52" s="3"/>
      <c r="S52" s="3"/>
      <c r="T52" s="3"/>
      <c r="U52" s="3"/>
      <c r="V52" s="3"/>
      <c r="W52" s="3"/>
      <c r="X52" s="3"/>
      <c r="Y52" s="3"/>
      <c r="Z52" s="3"/>
    </row>
    <row r="53" customFormat="false" ht="15.75" hidden="false" customHeight="true" outlineLevel="0" collapsed="false">
      <c r="A53" s="3"/>
      <c r="B53" s="3"/>
      <c r="C53" s="3"/>
      <c r="D53" s="3"/>
      <c r="E53" s="3"/>
      <c r="F53" s="3"/>
      <c r="G53" s="3"/>
      <c r="H53" s="3"/>
      <c r="I53" s="3"/>
      <c r="J53" s="3"/>
      <c r="K53" s="3"/>
      <c r="L53" s="3"/>
      <c r="M53" s="3"/>
      <c r="N53" s="3"/>
      <c r="O53" s="3"/>
      <c r="P53" s="3"/>
      <c r="Q53" s="3"/>
      <c r="R53" s="3"/>
      <c r="S53" s="3"/>
      <c r="T53" s="3"/>
      <c r="U53" s="3"/>
      <c r="V53" s="3"/>
      <c r="W53" s="3"/>
      <c r="X53" s="3"/>
      <c r="Y53" s="3"/>
      <c r="Z53" s="3"/>
    </row>
    <row r="54" customFormat="false" ht="15.75" hidden="false" customHeight="true" outlineLevel="0" collapsed="false">
      <c r="A54" s="3"/>
      <c r="B54" s="3"/>
      <c r="C54" s="3"/>
      <c r="D54" s="3"/>
      <c r="E54" s="3"/>
      <c r="F54" s="3"/>
      <c r="G54" s="3"/>
      <c r="H54" s="3"/>
      <c r="I54" s="3"/>
      <c r="J54" s="3"/>
      <c r="K54" s="3"/>
      <c r="L54" s="3"/>
      <c r="M54" s="3"/>
      <c r="N54" s="3"/>
      <c r="O54" s="3"/>
      <c r="P54" s="3"/>
      <c r="Q54" s="3"/>
      <c r="R54" s="3"/>
      <c r="S54" s="3"/>
      <c r="T54" s="3"/>
      <c r="U54" s="3"/>
      <c r="V54" s="3"/>
      <c r="W54" s="3"/>
      <c r="X54" s="3"/>
      <c r="Y54" s="3"/>
      <c r="Z54" s="3"/>
    </row>
    <row r="55" customFormat="false" ht="15.75" hidden="false" customHeight="true" outlineLevel="0" collapsed="false">
      <c r="A55" s="3"/>
      <c r="B55" s="3"/>
      <c r="C55" s="3"/>
      <c r="D55" s="3"/>
      <c r="E55" s="3"/>
      <c r="F55" s="3"/>
      <c r="G55" s="3"/>
      <c r="H55" s="3"/>
      <c r="I55" s="3"/>
      <c r="J55" s="3"/>
      <c r="K55" s="3"/>
      <c r="L55" s="3"/>
      <c r="M55" s="3"/>
      <c r="N55" s="3"/>
      <c r="O55" s="3"/>
      <c r="P55" s="3"/>
      <c r="Q55" s="3"/>
      <c r="R55" s="3"/>
      <c r="S55" s="3"/>
      <c r="T55" s="3"/>
      <c r="U55" s="3"/>
      <c r="V55" s="3"/>
      <c r="W55" s="3"/>
      <c r="X55" s="3"/>
      <c r="Y55" s="3"/>
      <c r="Z55" s="3"/>
    </row>
    <row r="56" customFormat="false" ht="15.75" hidden="false" customHeight="true" outlineLevel="0" collapsed="false">
      <c r="A56" s="3"/>
      <c r="B56" s="3"/>
      <c r="C56" s="3"/>
      <c r="D56" s="3"/>
      <c r="E56" s="3"/>
      <c r="F56" s="3"/>
      <c r="G56" s="3"/>
      <c r="H56" s="3"/>
      <c r="I56" s="3"/>
      <c r="J56" s="3"/>
      <c r="K56" s="3"/>
      <c r="L56" s="3"/>
      <c r="M56" s="3"/>
      <c r="N56" s="3"/>
      <c r="O56" s="3"/>
      <c r="P56" s="3"/>
      <c r="Q56" s="3"/>
      <c r="R56" s="3"/>
      <c r="S56" s="3"/>
      <c r="T56" s="3"/>
      <c r="U56" s="3"/>
      <c r="V56" s="3"/>
      <c r="W56" s="3"/>
      <c r="X56" s="3"/>
      <c r="Y56" s="3"/>
      <c r="Z56" s="3"/>
    </row>
    <row r="57" customFormat="false" ht="15.75" hidden="false" customHeight="true" outlineLevel="0" collapsed="false">
      <c r="A57" s="3"/>
      <c r="B57" s="3"/>
      <c r="C57" s="3"/>
      <c r="D57" s="3"/>
      <c r="E57" s="3"/>
      <c r="F57" s="3"/>
      <c r="G57" s="3"/>
      <c r="H57" s="3"/>
      <c r="I57" s="3"/>
      <c r="J57" s="3"/>
      <c r="K57" s="3"/>
      <c r="L57" s="3"/>
      <c r="M57" s="3"/>
      <c r="N57" s="3"/>
      <c r="O57" s="3"/>
      <c r="P57" s="3"/>
      <c r="Q57" s="3"/>
      <c r="R57" s="3"/>
      <c r="S57" s="3"/>
      <c r="T57" s="3"/>
      <c r="U57" s="3"/>
      <c r="V57" s="3"/>
      <c r="W57" s="3"/>
      <c r="X57" s="3"/>
      <c r="Y57" s="3"/>
      <c r="Z57" s="3"/>
    </row>
    <row r="58" customFormat="false" ht="15.75" hidden="false" customHeight="true" outlineLevel="0" collapsed="false">
      <c r="A58" s="3"/>
      <c r="B58" s="3"/>
      <c r="C58" s="3"/>
      <c r="D58" s="3"/>
      <c r="E58" s="3"/>
      <c r="F58" s="3"/>
      <c r="G58" s="3"/>
      <c r="H58" s="3"/>
      <c r="I58" s="3"/>
      <c r="J58" s="3"/>
      <c r="K58" s="3"/>
      <c r="L58" s="3"/>
      <c r="M58" s="3"/>
      <c r="N58" s="3"/>
      <c r="O58" s="3"/>
      <c r="P58" s="3"/>
      <c r="Q58" s="3"/>
      <c r="R58" s="3"/>
      <c r="S58" s="3"/>
      <c r="T58" s="3"/>
      <c r="U58" s="3"/>
      <c r="V58" s="3"/>
      <c r="W58" s="3"/>
      <c r="X58" s="3"/>
      <c r="Y58" s="3"/>
      <c r="Z58" s="3"/>
    </row>
    <row r="59" customFormat="false" ht="15.75" hidden="false" customHeight="true" outlineLevel="0" collapsed="false">
      <c r="A59" s="3"/>
      <c r="B59" s="3"/>
      <c r="C59" s="3"/>
      <c r="D59" s="3"/>
      <c r="E59" s="3"/>
      <c r="F59" s="3"/>
      <c r="G59" s="3"/>
      <c r="H59" s="3"/>
      <c r="I59" s="3"/>
      <c r="J59" s="3"/>
      <c r="K59" s="3"/>
      <c r="L59" s="3"/>
      <c r="M59" s="3"/>
      <c r="N59" s="3"/>
      <c r="O59" s="3"/>
      <c r="P59" s="3"/>
      <c r="Q59" s="3"/>
      <c r="R59" s="3"/>
      <c r="S59" s="3"/>
      <c r="T59" s="3"/>
      <c r="U59" s="3"/>
      <c r="V59" s="3"/>
      <c r="W59" s="3"/>
      <c r="X59" s="3"/>
      <c r="Y59" s="3"/>
      <c r="Z59" s="3"/>
    </row>
    <row r="60" customFormat="false" ht="15.75" hidden="false" customHeight="true" outlineLevel="0" collapsed="false">
      <c r="A60" s="3"/>
      <c r="B60" s="3"/>
      <c r="C60" s="3"/>
      <c r="D60" s="3"/>
      <c r="E60" s="3"/>
      <c r="F60" s="3"/>
      <c r="G60" s="3"/>
      <c r="H60" s="3"/>
      <c r="I60" s="3"/>
      <c r="J60" s="3"/>
      <c r="K60" s="3"/>
      <c r="L60" s="3"/>
      <c r="M60" s="3"/>
      <c r="N60" s="3"/>
      <c r="O60" s="3"/>
      <c r="P60" s="3"/>
      <c r="Q60" s="3"/>
      <c r="R60" s="3"/>
      <c r="S60" s="3"/>
      <c r="T60" s="3"/>
      <c r="U60" s="3"/>
      <c r="V60" s="3"/>
      <c r="W60" s="3"/>
      <c r="X60" s="3"/>
      <c r="Y60" s="3"/>
      <c r="Z60" s="3"/>
    </row>
    <row r="61" customFormat="false" ht="15.75" hidden="false" customHeight="true" outlineLevel="0" collapsed="false">
      <c r="A61" s="3"/>
      <c r="B61" s="3"/>
      <c r="C61" s="3"/>
      <c r="D61" s="3"/>
      <c r="E61" s="3"/>
      <c r="F61" s="3"/>
      <c r="G61" s="3"/>
      <c r="H61" s="3"/>
      <c r="I61" s="3"/>
      <c r="J61" s="3"/>
      <c r="K61" s="3"/>
      <c r="L61" s="3"/>
      <c r="M61" s="3"/>
      <c r="N61" s="3"/>
      <c r="O61" s="3"/>
      <c r="P61" s="3"/>
      <c r="Q61" s="3"/>
      <c r="R61" s="3"/>
      <c r="S61" s="3"/>
      <c r="T61" s="3"/>
      <c r="U61" s="3"/>
      <c r="V61" s="3"/>
      <c r="W61" s="3"/>
      <c r="X61" s="3"/>
      <c r="Y61" s="3"/>
      <c r="Z61" s="3"/>
    </row>
    <row r="62" customFormat="false" ht="15.75" hidden="false" customHeight="true" outlineLevel="0" collapsed="false">
      <c r="A62" s="3"/>
      <c r="B62" s="3"/>
      <c r="C62" s="3"/>
      <c r="D62" s="3"/>
      <c r="E62" s="3"/>
      <c r="F62" s="3"/>
      <c r="G62" s="3"/>
      <c r="H62" s="3"/>
      <c r="I62" s="3"/>
      <c r="J62" s="3"/>
      <c r="K62" s="3"/>
      <c r="L62" s="3"/>
      <c r="M62" s="3"/>
      <c r="N62" s="3"/>
      <c r="O62" s="3"/>
      <c r="P62" s="3"/>
      <c r="Q62" s="3"/>
      <c r="R62" s="3"/>
      <c r="S62" s="3"/>
      <c r="T62" s="3"/>
      <c r="U62" s="3"/>
      <c r="V62" s="3"/>
      <c r="W62" s="3"/>
      <c r="X62" s="3"/>
      <c r="Y62" s="3"/>
      <c r="Z62" s="3"/>
    </row>
    <row r="63" customFormat="false" ht="15.75" hidden="false" customHeight="true" outlineLevel="0" collapsed="false">
      <c r="A63" s="3"/>
      <c r="B63" s="3"/>
      <c r="C63" s="3"/>
      <c r="D63" s="3"/>
      <c r="E63" s="3"/>
      <c r="F63" s="3"/>
      <c r="G63" s="3"/>
      <c r="H63" s="3"/>
      <c r="I63" s="3"/>
      <c r="J63" s="3"/>
      <c r="K63" s="3"/>
      <c r="L63" s="3"/>
      <c r="M63" s="3"/>
      <c r="N63" s="3"/>
      <c r="O63" s="3"/>
      <c r="P63" s="3"/>
      <c r="Q63" s="3"/>
      <c r="R63" s="3"/>
      <c r="S63" s="3"/>
      <c r="T63" s="3"/>
      <c r="U63" s="3"/>
      <c r="V63" s="3"/>
      <c r="W63" s="3"/>
      <c r="X63" s="3"/>
      <c r="Y63" s="3"/>
      <c r="Z63" s="3"/>
    </row>
    <row r="64" customFormat="false" ht="15.75" hidden="false" customHeight="true" outlineLevel="0" collapsed="false">
      <c r="A64" s="3"/>
      <c r="B64" s="3"/>
      <c r="C64" s="3"/>
      <c r="D64" s="3"/>
      <c r="E64" s="3"/>
      <c r="F64" s="3"/>
      <c r="G64" s="3"/>
      <c r="H64" s="3"/>
      <c r="I64" s="3"/>
      <c r="J64" s="3"/>
      <c r="K64" s="3"/>
      <c r="L64" s="3"/>
      <c r="M64" s="3"/>
      <c r="N64" s="3"/>
      <c r="O64" s="3"/>
      <c r="P64" s="3"/>
      <c r="Q64" s="3"/>
      <c r="R64" s="3"/>
      <c r="S64" s="3"/>
      <c r="T64" s="3"/>
      <c r="U64" s="3"/>
      <c r="V64" s="3"/>
      <c r="W64" s="3"/>
      <c r="X64" s="3"/>
      <c r="Y64" s="3"/>
      <c r="Z64" s="3"/>
    </row>
    <row r="65" customFormat="false" ht="15.75" hidden="false" customHeight="true" outlineLevel="0" collapsed="false">
      <c r="A65" s="3"/>
      <c r="B65" s="3"/>
      <c r="C65" s="3"/>
      <c r="D65" s="3"/>
      <c r="E65" s="3"/>
      <c r="F65" s="3"/>
      <c r="G65" s="3"/>
      <c r="H65" s="3"/>
      <c r="I65" s="3"/>
      <c r="J65" s="3"/>
      <c r="K65" s="3"/>
      <c r="L65" s="3"/>
      <c r="M65" s="3"/>
      <c r="N65" s="3"/>
      <c r="O65" s="3"/>
      <c r="P65" s="3"/>
      <c r="Q65" s="3"/>
      <c r="R65" s="3"/>
      <c r="S65" s="3"/>
      <c r="T65" s="3"/>
      <c r="U65" s="3"/>
      <c r="V65" s="3"/>
      <c r="W65" s="3"/>
      <c r="X65" s="3"/>
      <c r="Y65" s="3"/>
      <c r="Z65" s="3"/>
    </row>
    <row r="66" customFormat="false" ht="15.75" hidden="false" customHeight="true" outlineLevel="0" collapsed="false">
      <c r="A66" s="3"/>
      <c r="B66" s="3"/>
      <c r="C66" s="3"/>
      <c r="D66" s="3"/>
      <c r="E66" s="3"/>
      <c r="F66" s="3"/>
      <c r="G66" s="3"/>
      <c r="H66" s="3"/>
      <c r="I66" s="3"/>
      <c r="J66" s="3"/>
      <c r="K66" s="3"/>
      <c r="L66" s="3"/>
      <c r="M66" s="3"/>
      <c r="N66" s="3"/>
      <c r="O66" s="3"/>
      <c r="P66" s="3"/>
      <c r="Q66" s="3"/>
      <c r="R66" s="3"/>
      <c r="S66" s="3"/>
      <c r="T66" s="3"/>
      <c r="U66" s="3"/>
      <c r="V66" s="3"/>
      <c r="W66" s="3"/>
      <c r="X66" s="3"/>
      <c r="Y66" s="3"/>
      <c r="Z66" s="3"/>
    </row>
    <row r="67" customFormat="false" ht="15.75" hidden="false" customHeight="true" outlineLevel="0" collapsed="false">
      <c r="A67" s="3"/>
      <c r="B67" s="3"/>
      <c r="C67" s="3"/>
      <c r="D67" s="3"/>
      <c r="E67" s="3"/>
      <c r="F67" s="3"/>
      <c r="G67" s="3"/>
      <c r="H67" s="3"/>
      <c r="I67" s="3"/>
      <c r="J67" s="3"/>
      <c r="K67" s="3"/>
      <c r="L67" s="3"/>
      <c r="M67" s="3"/>
      <c r="N67" s="3"/>
      <c r="O67" s="3"/>
      <c r="P67" s="3"/>
      <c r="Q67" s="3"/>
      <c r="R67" s="3"/>
      <c r="S67" s="3"/>
      <c r="T67" s="3"/>
      <c r="U67" s="3"/>
      <c r="V67" s="3"/>
      <c r="W67" s="3"/>
      <c r="X67" s="3"/>
      <c r="Y67" s="3"/>
      <c r="Z67" s="3"/>
    </row>
    <row r="68" customFormat="false" ht="15.75" hidden="false" customHeight="true" outlineLevel="0" collapsed="false">
      <c r="A68" s="3"/>
      <c r="B68" s="3"/>
      <c r="C68" s="3"/>
      <c r="D68" s="3"/>
      <c r="E68" s="3"/>
      <c r="F68" s="3"/>
      <c r="G68" s="3"/>
      <c r="H68" s="3"/>
      <c r="I68" s="3"/>
      <c r="J68" s="3"/>
      <c r="K68" s="3"/>
      <c r="L68" s="3"/>
      <c r="M68" s="3"/>
      <c r="N68" s="3"/>
      <c r="O68" s="3"/>
      <c r="P68" s="3"/>
      <c r="Q68" s="3"/>
      <c r="R68" s="3"/>
      <c r="S68" s="3"/>
      <c r="T68" s="3"/>
      <c r="U68" s="3"/>
      <c r="V68" s="3"/>
      <c r="W68" s="3"/>
      <c r="X68" s="3"/>
      <c r="Y68" s="3"/>
      <c r="Z68" s="3"/>
    </row>
    <row r="69" customFormat="false" ht="15.75" hidden="false" customHeight="true" outlineLevel="0" collapsed="false">
      <c r="A69" s="3"/>
      <c r="B69" s="3"/>
      <c r="C69" s="3"/>
      <c r="D69" s="3"/>
      <c r="E69" s="3"/>
      <c r="F69" s="3"/>
      <c r="G69" s="3"/>
      <c r="H69" s="3"/>
      <c r="I69" s="3"/>
      <c r="J69" s="3"/>
      <c r="K69" s="3"/>
      <c r="L69" s="3"/>
      <c r="M69" s="3"/>
      <c r="N69" s="3"/>
      <c r="O69" s="3"/>
      <c r="P69" s="3"/>
      <c r="Q69" s="3"/>
      <c r="R69" s="3"/>
      <c r="S69" s="3"/>
      <c r="T69" s="3"/>
      <c r="U69" s="3"/>
      <c r="V69" s="3"/>
      <c r="W69" s="3"/>
      <c r="X69" s="3"/>
      <c r="Y69" s="3"/>
      <c r="Z69" s="3"/>
    </row>
    <row r="70" customFormat="false" ht="15.75" hidden="false" customHeight="true" outlineLevel="0" collapsed="false">
      <c r="A70" s="3"/>
      <c r="B70" s="3"/>
      <c r="C70" s="3"/>
      <c r="D70" s="3"/>
      <c r="E70" s="3"/>
      <c r="F70" s="3"/>
      <c r="G70" s="3"/>
      <c r="H70" s="3"/>
      <c r="I70" s="3"/>
      <c r="J70" s="3"/>
      <c r="K70" s="3"/>
      <c r="L70" s="3"/>
      <c r="M70" s="3"/>
      <c r="N70" s="3"/>
      <c r="O70" s="3"/>
      <c r="P70" s="3"/>
      <c r="Q70" s="3"/>
      <c r="R70" s="3"/>
      <c r="S70" s="3"/>
      <c r="T70" s="3"/>
      <c r="U70" s="3"/>
      <c r="V70" s="3"/>
      <c r="W70" s="3"/>
      <c r="X70" s="3"/>
      <c r="Y70" s="3"/>
      <c r="Z70" s="3"/>
    </row>
    <row r="71" customFormat="false" ht="15.75" hidden="false" customHeight="true" outlineLevel="0" collapsed="false">
      <c r="A71" s="3"/>
      <c r="B71" s="3"/>
      <c r="C71" s="3"/>
      <c r="D71" s="3"/>
      <c r="E71" s="3"/>
      <c r="F71" s="3"/>
      <c r="G71" s="3"/>
      <c r="H71" s="3"/>
      <c r="I71" s="3"/>
      <c r="J71" s="3"/>
      <c r="K71" s="3"/>
      <c r="L71" s="3"/>
      <c r="M71" s="3"/>
      <c r="N71" s="3"/>
      <c r="O71" s="3"/>
      <c r="P71" s="3"/>
      <c r="Q71" s="3"/>
      <c r="R71" s="3"/>
      <c r="S71" s="3"/>
      <c r="T71" s="3"/>
      <c r="U71" s="3"/>
      <c r="V71" s="3"/>
      <c r="W71" s="3"/>
      <c r="X71" s="3"/>
      <c r="Y71" s="3"/>
      <c r="Z71" s="3"/>
    </row>
    <row r="72" customFormat="false" ht="15.75" hidden="false" customHeight="true" outlineLevel="0" collapsed="false">
      <c r="A72" s="3"/>
      <c r="B72" s="3"/>
      <c r="C72" s="3"/>
      <c r="D72" s="3"/>
      <c r="E72" s="3"/>
      <c r="F72" s="3"/>
      <c r="G72" s="3"/>
      <c r="H72" s="3"/>
      <c r="I72" s="3"/>
      <c r="J72" s="3"/>
      <c r="K72" s="3"/>
      <c r="L72" s="3"/>
      <c r="M72" s="3"/>
      <c r="N72" s="3"/>
      <c r="O72" s="3"/>
      <c r="P72" s="3"/>
      <c r="Q72" s="3"/>
      <c r="R72" s="3"/>
      <c r="S72" s="3"/>
      <c r="T72" s="3"/>
      <c r="U72" s="3"/>
      <c r="V72" s="3"/>
      <c r="W72" s="3"/>
      <c r="X72" s="3"/>
      <c r="Y72" s="3"/>
      <c r="Z72" s="3"/>
    </row>
    <row r="73" customFormat="false" ht="15.75" hidden="false" customHeight="true" outlineLevel="0" collapsed="false">
      <c r="A73" s="3"/>
      <c r="B73" s="3"/>
      <c r="C73" s="3"/>
      <c r="D73" s="3"/>
      <c r="E73" s="3"/>
      <c r="F73" s="3"/>
      <c r="G73" s="3"/>
      <c r="H73" s="3"/>
      <c r="I73" s="3"/>
      <c r="J73" s="3"/>
      <c r="K73" s="3"/>
      <c r="L73" s="3"/>
      <c r="M73" s="3"/>
      <c r="N73" s="3"/>
      <c r="O73" s="3"/>
      <c r="P73" s="3"/>
      <c r="Q73" s="3"/>
      <c r="R73" s="3"/>
      <c r="S73" s="3"/>
      <c r="T73" s="3"/>
      <c r="U73" s="3"/>
      <c r="V73" s="3"/>
      <c r="W73" s="3"/>
      <c r="X73" s="3"/>
      <c r="Y73" s="3"/>
      <c r="Z73" s="3"/>
    </row>
    <row r="74" customFormat="false" ht="15.75" hidden="false" customHeight="true" outlineLevel="0" collapsed="false">
      <c r="A74" s="3"/>
      <c r="B74" s="3"/>
      <c r="C74" s="3"/>
      <c r="D74" s="3"/>
      <c r="E74" s="3"/>
      <c r="F74" s="3"/>
      <c r="G74" s="3"/>
      <c r="H74" s="3"/>
      <c r="I74" s="3"/>
      <c r="J74" s="3"/>
      <c r="K74" s="3"/>
      <c r="L74" s="3"/>
      <c r="M74" s="3"/>
      <c r="N74" s="3"/>
      <c r="O74" s="3"/>
      <c r="P74" s="3"/>
      <c r="Q74" s="3"/>
      <c r="R74" s="3"/>
      <c r="S74" s="3"/>
      <c r="T74" s="3"/>
      <c r="U74" s="3"/>
      <c r="V74" s="3"/>
      <c r="W74" s="3"/>
      <c r="X74" s="3"/>
      <c r="Y74" s="3"/>
      <c r="Z74" s="3"/>
    </row>
    <row r="75" customFormat="false" ht="15.75" hidden="false" customHeight="true" outlineLevel="0" collapsed="false">
      <c r="A75" s="3"/>
      <c r="B75" s="3"/>
      <c r="C75" s="3"/>
      <c r="D75" s="3"/>
      <c r="E75" s="3"/>
      <c r="F75" s="3"/>
      <c r="G75" s="3"/>
      <c r="H75" s="3"/>
      <c r="I75" s="3"/>
      <c r="J75" s="3"/>
      <c r="K75" s="3"/>
      <c r="L75" s="3"/>
      <c r="M75" s="3"/>
      <c r="N75" s="3"/>
      <c r="O75" s="3"/>
      <c r="P75" s="3"/>
      <c r="Q75" s="3"/>
      <c r="R75" s="3"/>
      <c r="S75" s="3"/>
      <c r="T75" s="3"/>
      <c r="U75" s="3"/>
      <c r="V75" s="3"/>
      <c r="W75" s="3"/>
      <c r="X75" s="3"/>
      <c r="Y75" s="3"/>
      <c r="Z75" s="3"/>
    </row>
    <row r="76" customFormat="false" ht="15.75" hidden="false" customHeight="true" outlineLevel="0" collapsed="false">
      <c r="A76" s="3"/>
      <c r="B76" s="3"/>
      <c r="C76" s="3"/>
      <c r="D76" s="3"/>
      <c r="E76" s="3"/>
      <c r="F76" s="3"/>
      <c r="G76" s="3"/>
      <c r="H76" s="3"/>
      <c r="I76" s="3"/>
      <c r="J76" s="3"/>
      <c r="K76" s="3"/>
      <c r="L76" s="3"/>
      <c r="M76" s="3"/>
      <c r="N76" s="3"/>
      <c r="O76" s="3"/>
      <c r="P76" s="3"/>
      <c r="Q76" s="3"/>
      <c r="R76" s="3"/>
      <c r="S76" s="3"/>
      <c r="T76" s="3"/>
      <c r="U76" s="3"/>
      <c r="V76" s="3"/>
      <c r="W76" s="3"/>
      <c r="X76" s="3"/>
      <c r="Y76" s="3"/>
      <c r="Z76" s="3"/>
    </row>
    <row r="77" customFormat="false" ht="15.75" hidden="false" customHeight="true" outlineLevel="0" collapsed="false">
      <c r="A77" s="3"/>
      <c r="B77" s="3"/>
      <c r="C77" s="3"/>
      <c r="D77" s="3"/>
      <c r="E77" s="3"/>
      <c r="F77" s="3"/>
      <c r="G77" s="3"/>
      <c r="H77" s="3"/>
      <c r="I77" s="3"/>
      <c r="J77" s="3"/>
      <c r="K77" s="3"/>
      <c r="L77" s="3"/>
      <c r="M77" s="3"/>
      <c r="N77" s="3"/>
      <c r="O77" s="3"/>
      <c r="P77" s="3"/>
      <c r="Q77" s="3"/>
      <c r="R77" s="3"/>
      <c r="S77" s="3"/>
      <c r="T77" s="3"/>
      <c r="U77" s="3"/>
      <c r="V77" s="3"/>
      <c r="W77" s="3"/>
      <c r="X77" s="3"/>
      <c r="Y77" s="3"/>
      <c r="Z77" s="3"/>
    </row>
    <row r="78" customFormat="false" ht="15.75" hidden="false" customHeight="true" outlineLevel="0" collapsed="false">
      <c r="A78" s="3"/>
      <c r="B78" s="3"/>
      <c r="C78" s="3"/>
      <c r="D78" s="3"/>
      <c r="E78" s="3"/>
      <c r="F78" s="3"/>
      <c r="G78" s="3"/>
      <c r="H78" s="3"/>
      <c r="I78" s="3"/>
      <c r="J78" s="3"/>
      <c r="K78" s="3"/>
      <c r="L78" s="3"/>
      <c r="M78" s="3"/>
      <c r="N78" s="3"/>
      <c r="O78" s="3"/>
      <c r="P78" s="3"/>
      <c r="Q78" s="3"/>
      <c r="R78" s="3"/>
      <c r="S78" s="3"/>
      <c r="T78" s="3"/>
      <c r="U78" s="3"/>
      <c r="V78" s="3"/>
      <c r="W78" s="3"/>
      <c r="X78" s="3"/>
      <c r="Y78" s="3"/>
      <c r="Z78" s="3"/>
    </row>
    <row r="79" customFormat="false" ht="15.75" hidden="false" customHeight="true" outlineLevel="0" collapsed="false">
      <c r="A79" s="3"/>
      <c r="B79" s="3"/>
      <c r="C79" s="3"/>
      <c r="D79" s="3"/>
      <c r="E79" s="3"/>
      <c r="F79" s="3"/>
      <c r="G79" s="3"/>
      <c r="H79" s="3"/>
      <c r="I79" s="3"/>
      <c r="J79" s="3"/>
      <c r="K79" s="3"/>
      <c r="L79" s="3"/>
      <c r="M79" s="3"/>
      <c r="N79" s="3"/>
      <c r="O79" s="3"/>
      <c r="P79" s="3"/>
      <c r="Q79" s="3"/>
      <c r="R79" s="3"/>
      <c r="S79" s="3"/>
      <c r="T79" s="3"/>
      <c r="U79" s="3"/>
      <c r="V79" s="3"/>
      <c r="W79" s="3"/>
      <c r="X79" s="3"/>
      <c r="Y79" s="3"/>
      <c r="Z79" s="3"/>
    </row>
    <row r="80" customFormat="false" ht="15.75" hidden="false" customHeight="true" outlineLevel="0" collapsed="false">
      <c r="A80" s="3"/>
      <c r="B80" s="3"/>
      <c r="C80" s="3"/>
      <c r="D80" s="3"/>
      <c r="E80" s="3"/>
      <c r="F80" s="3"/>
      <c r="G80" s="3"/>
      <c r="H80" s="3"/>
      <c r="I80" s="3"/>
      <c r="J80" s="3"/>
      <c r="K80" s="3"/>
      <c r="L80" s="3"/>
      <c r="M80" s="3"/>
      <c r="N80" s="3"/>
      <c r="O80" s="3"/>
      <c r="P80" s="3"/>
      <c r="Q80" s="3"/>
      <c r="R80" s="3"/>
      <c r="S80" s="3"/>
      <c r="T80" s="3"/>
      <c r="U80" s="3"/>
      <c r="V80" s="3"/>
      <c r="W80" s="3"/>
      <c r="X80" s="3"/>
      <c r="Y80" s="3"/>
      <c r="Z80" s="3"/>
    </row>
    <row r="81" customFormat="false" ht="15.75" hidden="false" customHeight="true" outlineLevel="0" collapsed="false">
      <c r="A81" s="3"/>
      <c r="B81" s="3"/>
      <c r="C81" s="3"/>
      <c r="D81" s="3"/>
      <c r="E81" s="3"/>
      <c r="F81" s="3"/>
      <c r="G81" s="3"/>
      <c r="H81" s="3"/>
      <c r="I81" s="3"/>
      <c r="J81" s="3"/>
      <c r="K81" s="3"/>
      <c r="L81" s="3"/>
      <c r="M81" s="3"/>
      <c r="N81" s="3"/>
      <c r="O81" s="3"/>
      <c r="P81" s="3"/>
      <c r="Q81" s="3"/>
      <c r="R81" s="3"/>
      <c r="S81" s="3"/>
      <c r="T81" s="3"/>
      <c r="U81" s="3"/>
      <c r="V81" s="3"/>
      <c r="W81" s="3"/>
      <c r="X81" s="3"/>
      <c r="Y81" s="3"/>
      <c r="Z81" s="3"/>
    </row>
    <row r="82" customFormat="false" ht="15.75" hidden="false" customHeight="true" outlineLevel="0" collapsed="false">
      <c r="A82" s="3"/>
      <c r="B82" s="3"/>
      <c r="C82" s="3"/>
      <c r="D82" s="3"/>
      <c r="E82" s="3"/>
      <c r="F82" s="3"/>
      <c r="G82" s="3"/>
      <c r="H82" s="3"/>
      <c r="I82" s="3"/>
      <c r="J82" s="3"/>
      <c r="K82" s="3"/>
      <c r="L82" s="3"/>
      <c r="M82" s="3"/>
      <c r="N82" s="3"/>
      <c r="O82" s="3"/>
      <c r="P82" s="3"/>
      <c r="Q82" s="3"/>
      <c r="R82" s="3"/>
      <c r="S82" s="3"/>
      <c r="T82" s="3"/>
      <c r="U82" s="3"/>
      <c r="V82" s="3"/>
      <c r="W82" s="3"/>
      <c r="X82" s="3"/>
      <c r="Y82" s="3"/>
      <c r="Z82" s="3"/>
    </row>
    <row r="83" customFormat="false" ht="15.75" hidden="false" customHeight="true" outlineLevel="0" collapsed="false">
      <c r="A83" s="3"/>
      <c r="B83" s="3"/>
      <c r="C83" s="3"/>
      <c r="D83" s="3"/>
      <c r="E83" s="3"/>
      <c r="F83" s="3"/>
      <c r="G83" s="3"/>
      <c r="H83" s="3"/>
      <c r="I83" s="3"/>
      <c r="J83" s="3"/>
      <c r="K83" s="3"/>
      <c r="L83" s="3"/>
      <c r="M83" s="3"/>
      <c r="N83" s="3"/>
      <c r="O83" s="3"/>
      <c r="P83" s="3"/>
      <c r="Q83" s="3"/>
      <c r="R83" s="3"/>
      <c r="S83" s="3"/>
      <c r="T83" s="3"/>
      <c r="U83" s="3"/>
      <c r="V83" s="3"/>
      <c r="W83" s="3"/>
      <c r="X83" s="3"/>
      <c r="Y83" s="3"/>
      <c r="Z83" s="3"/>
    </row>
    <row r="84" customFormat="false" ht="15.75" hidden="false" customHeight="true" outlineLevel="0" collapsed="false">
      <c r="A84" s="3"/>
      <c r="B84" s="3"/>
      <c r="C84" s="3"/>
      <c r="D84" s="3"/>
      <c r="E84" s="3"/>
      <c r="F84" s="3"/>
      <c r="G84" s="3"/>
      <c r="H84" s="3"/>
      <c r="I84" s="3"/>
      <c r="J84" s="3"/>
      <c r="K84" s="3"/>
      <c r="L84" s="3"/>
      <c r="M84" s="3"/>
      <c r="N84" s="3"/>
      <c r="O84" s="3"/>
      <c r="P84" s="3"/>
      <c r="Q84" s="3"/>
      <c r="R84" s="3"/>
      <c r="S84" s="3"/>
      <c r="T84" s="3"/>
      <c r="U84" s="3"/>
      <c r="V84" s="3"/>
      <c r="W84" s="3"/>
      <c r="X84" s="3"/>
      <c r="Y84" s="3"/>
      <c r="Z84" s="3"/>
    </row>
    <row r="85" customFormat="false" ht="15.75" hidden="false" customHeight="true" outlineLevel="0" collapsed="false">
      <c r="A85" s="3"/>
      <c r="B85" s="3"/>
      <c r="C85" s="3"/>
      <c r="D85" s="3"/>
      <c r="E85" s="3"/>
      <c r="F85" s="3"/>
      <c r="G85" s="3"/>
      <c r="H85" s="3"/>
      <c r="I85" s="3"/>
      <c r="J85" s="3"/>
      <c r="K85" s="3"/>
      <c r="L85" s="3"/>
      <c r="M85" s="3"/>
      <c r="N85" s="3"/>
      <c r="O85" s="3"/>
      <c r="P85" s="3"/>
      <c r="Q85" s="3"/>
      <c r="R85" s="3"/>
      <c r="S85" s="3"/>
      <c r="T85" s="3"/>
      <c r="U85" s="3"/>
      <c r="V85" s="3"/>
      <c r="W85" s="3"/>
      <c r="X85" s="3"/>
      <c r="Y85" s="3"/>
      <c r="Z85" s="3"/>
    </row>
    <row r="86" customFormat="false" ht="15.75" hidden="false" customHeight="true" outlineLevel="0" collapsed="false">
      <c r="A86" s="3"/>
      <c r="B86" s="3"/>
      <c r="C86" s="3"/>
      <c r="D86" s="3"/>
      <c r="E86" s="3"/>
      <c r="F86" s="3"/>
      <c r="G86" s="3"/>
      <c r="H86" s="3"/>
      <c r="I86" s="3"/>
      <c r="J86" s="3"/>
      <c r="K86" s="3"/>
      <c r="L86" s="3"/>
      <c r="M86" s="3"/>
      <c r="N86" s="3"/>
      <c r="O86" s="3"/>
      <c r="P86" s="3"/>
      <c r="Q86" s="3"/>
      <c r="R86" s="3"/>
      <c r="S86" s="3"/>
      <c r="T86" s="3"/>
      <c r="U86" s="3"/>
      <c r="V86" s="3"/>
      <c r="W86" s="3"/>
      <c r="X86" s="3"/>
      <c r="Y86" s="3"/>
      <c r="Z86" s="3"/>
    </row>
    <row r="87" customFormat="false" ht="15.75" hidden="false" customHeight="true" outlineLevel="0" collapsed="false">
      <c r="A87" s="3"/>
      <c r="B87" s="3"/>
      <c r="C87" s="3"/>
      <c r="D87" s="3"/>
      <c r="E87" s="3"/>
      <c r="F87" s="3"/>
      <c r="G87" s="3"/>
      <c r="H87" s="3"/>
      <c r="I87" s="3"/>
      <c r="J87" s="3"/>
      <c r="K87" s="3"/>
      <c r="L87" s="3"/>
      <c r="M87" s="3"/>
      <c r="N87" s="3"/>
      <c r="O87" s="3"/>
      <c r="P87" s="3"/>
      <c r="Q87" s="3"/>
      <c r="R87" s="3"/>
      <c r="S87" s="3"/>
      <c r="T87" s="3"/>
      <c r="U87" s="3"/>
      <c r="V87" s="3"/>
      <c r="W87" s="3"/>
      <c r="X87" s="3"/>
      <c r="Y87" s="3"/>
      <c r="Z87" s="3"/>
    </row>
    <row r="88" customFormat="false" ht="15.75" hidden="false" customHeight="true" outlineLevel="0" collapsed="false">
      <c r="A88" s="3"/>
      <c r="B88" s="3"/>
      <c r="C88" s="3"/>
      <c r="D88" s="3"/>
      <c r="E88" s="3"/>
      <c r="F88" s="3"/>
      <c r="G88" s="3"/>
      <c r="H88" s="3"/>
      <c r="I88" s="3"/>
      <c r="J88" s="3"/>
      <c r="K88" s="3"/>
      <c r="L88" s="3"/>
      <c r="M88" s="3"/>
      <c r="N88" s="3"/>
      <c r="O88" s="3"/>
      <c r="P88" s="3"/>
      <c r="Q88" s="3"/>
      <c r="R88" s="3"/>
      <c r="S88" s="3"/>
      <c r="T88" s="3"/>
      <c r="U88" s="3"/>
      <c r="V88" s="3"/>
      <c r="W88" s="3"/>
      <c r="X88" s="3"/>
      <c r="Y88" s="3"/>
      <c r="Z88" s="3"/>
    </row>
    <row r="89" customFormat="false" ht="15.75" hidden="false" customHeight="true" outlineLevel="0" collapsed="false">
      <c r="A89" s="3"/>
      <c r="B89" s="3"/>
      <c r="C89" s="3"/>
      <c r="D89" s="3"/>
      <c r="E89" s="3"/>
      <c r="F89" s="3"/>
      <c r="G89" s="3"/>
      <c r="H89" s="3"/>
      <c r="I89" s="3"/>
      <c r="J89" s="3"/>
      <c r="K89" s="3"/>
      <c r="L89" s="3"/>
      <c r="M89" s="3"/>
      <c r="N89" s="3"/>
      <c r="O89" s="3"/>
      <c r="P89" s="3"/>
      <c r="Q89" s="3"/>
      <c r="R89" s="3"/>
      <c r="S89" s="3"/>
      <c r="T89" s="3"/>
      <c r="U89" s="3"/>
      <c r="V89" s="3"/>
      <c r="W89" s="3"/>
      <c r="X89" s="3"/>
      <c r="Y89" s="3"/>
      <c r="Z89" s="3"/>
    </row>
    <row r="90" customFormat="false" ht="15.75" hidden="false" customHeight="true" outlineLevel="0" collapsed="false">
      <c r="A90" s="3"/>
      <c r="B90" s="3"/>
      <c r="C90" s="3"/>
      <c r="D90" s="3"/>
      <c r="E90" s="3"/>
      <c r="F90" s="3"/>
      <c r="G90" s="3"/>
      <c r="H90" s="3"/>
      <c r="I90" s="3"/>
      <c r="J90" s="3"/>
      <c r="K90" s="3"/>
      <c r="L90" s="3"/>
      <c r="M90" s="3"/>
      <c r="N90" s="3"/>
      <c r="O90" s="3"/>
      <c r="P90" s="3"/>
      <c r="Q90" s="3"/>
      <c r="R90" s="3"/>
      <c r="S90" s="3"/>
      <c r="T90" s="3"/>
      <c r="U90" s="3"/>
      <c r="V90" s="3"/>
      <c r="W90" s="3"/>
      <c r="X90" s="3"/>
      <c r="Y90" s="3"/>
      <c r="Z90" s="3"/>
    </row>
    <row r="91" customFormat="false" ht="15.75" hidden="false" customHeight="true" outlineLevel="0" collapsed="false">
      <c r="A91" s="3"/>
      <c r="B91" s="3"/>
      <c r="C91" s="3"/>
      <c r="D91" s="3"/>
      <c r="E91" s="3"/>
      <c r="F91" s="3"/>
      <c r="G91" s="3"/>
      <c r="H91" s="3"/>
      <c r="I91" s="3"/>
      <c r="J91" s="3"/>
      <c r="K91" s="3"/>
      <c r="L91" s="3"/>
      <c r="M91" s="3"/>
      <c r="N91" s="3"/>
      <c r="O91" s="3"/>
      <c r="P91" s="3"/>
      <c r="Q91" s="3"/>
      <c r="R91" s="3"/>
      <c r="S91" s="3"/>
      <c r="T91" s="3"/>
      <c r="U91" s="3"/>
      <c r="V91" s="3"/>
      <c r="W91" s="3"/>
      <c r="X91" s="3"/>
      <c r="Y91" s="3"/>
      <c r="Z91" s="3"/>
    </row>
    <row r="92" customFormat="false" ht="15.75" hidden="false" customHeight="true" outlineLevel="0" collapsed="false">
      <c r="A92" s="3"/>
      <c r="B92" s="3"/>
      <c r="C92" s="3"/>
      <c r="D92" s="3"/>
      <c r="E92" s="3"/>
      <c r="F92" s="3"/>
      <c r="G92" s="3"/>
      <c r="H92" s="3"/>
      <c r="I92" s="3"/>
      <c r="J92" s="3"/>
      <c r="K92" s="3"/>
      <c r="L92" s="3"/>
      <c r="M92" s="3"/>
      <c r="N92" s="3"/>
      <c r="O92" s="3"/>
      <c r="P92" s="3"/>
      <c r="Q92" s="3"/>
      <c r="R92" s="3"/>
      <c r="S92" s="3"/>
      <c r="T92" s="3"/>
      <c r="U92" s="3"/>
      <c r="V92" s="3"/>
      <c r="W92" s="3"/>
      <c r="X92" s="3"/>
      <c r="Y92" s="3"/>
      <c r="Z92" s="3"/>
    </row>
    <row r="93" customFormat="false" ht="15.75" hidden="false" customHeight="true" outlineLevel="0" collapsed="false">
      <c r="A93" s="3"/>
      <c r="B93" s="3"/>
      <c r="C93" s="3"/>
      <c r="D93" s="3"/>
      <c r="E93" s="3"/>
      <c r="F93" s="3"/>
      <c r="G93" s="3"/>
      <c r="H93" s="3"/>
      <c r="I93" s="3"/>
      <c r="J93" s="3"/>
      <c r="K93" s="3"/>
      <c r="L93" s="3"/>
      <c r="M93" s="3"/>
      <c r="N93" s="3"/>
      <c r="O93" s="3"/>
      <c r="P93" s="3"/>
      <c r="Q93" s="3"/>
      <c r="R93" s="3"/>
      <c r="S93" s="3"/>
      <c r="T93" s="3"/>
      <c r="U93" s="3"/>
      <c r="V93" s="3"/>
      <c r="W93" s="3"/>
      <c r="X93" s="3"/>
      <c r="Y93" s="3"/>
      <c r="Z93" s="3"/>
    </row>
    <row r="94" customFormat="false" ht="15.75" hidden="false" customHeight="true" outlineLevel="0" collapsed="false">
      <c r="A94" s="3"/>
      <c r="B94" s="3"/>
      <c r="C94" s="3"/>
      <c r="D94" s="3"/>
      <c r="E94" s="3"/>
      <c r="F94" s="3"/>
      <c r="G94" s="3"/>
      <c r="H94" s="3"/>
      <c r="I94" s="3"/>
      <c r="J94" s="3"/>
      <c r="K94" s="3"/>
      <c r="L94" s="3"/>
      <c r="M94" s="3"/>
      <c r="N94" s="3"/>
      <c r="O94" s="3"/>
      <c r="P94" s="3"/>
      <c r="Q94" s="3"/>
      <c r="R94" s="3"/>
      <c r="S94" s="3"/>
      <c r="T94" s="3"/>
      <c r="U94" s="3"/>
      <c r="V94" s="3"/>
      <c r="W94" s="3"/>
      <c r="X94" s="3"/>
      <c r="Y94" s="3"/>
      <c r="Z94" s="3"/>
    </row>
    <row r="95" customFormat="false" ht="15.75" hidden="false" customHeight="true" outlineLevel="0" collapsed="false">
      <c r="A95" s="3"/>
      <c r="B95" s="3"/>
      <c r="C95" s="3"/>
      <c r="D95" s="3"/>
      <c r="E95" s="3"/>
      <c r="F95" s="3"/>
      <c r="G95" s="3"/>
      <c r="H95" s="3"/>
      <c r="I95" s="3"/>
      <c r="J95" s="3"/>
      <c r="K95" s="3"/>
      <c r="L95" s="3"/>
      <c r="M95" s="3"/>
      <c r="N95" s="3"/>
      <c r="O95" s="3"/>
      <c r="P95" s="3"/>
      <c r="Q95" s="3"/>
      <c r="R95" s="3"/>
      <c r="S95" s="3"/>
      <c r="T95" s="3"/>
      <c r="U95" s="3"/>
      <c r="V95" s="3"/>
      <c r="W95" s="3"/>
      <c r="X95" s="3"/>
      <c r="Y95" s="3"/>
      <c r="Z95" s="3"/>
    </row>
    <row r="96" customFormat="false" ht="15.75" hidden="false" customHeight="true" outlineLevel="0" collapsed="false">
      <c r="A96" s="3"/>
      <c r="B96" s="3"/>
      <c r="C96" s="3"/>
      <c r="D96" s="3"/>
      <c r="E96" s="3"/>
      <c r="F96" s="3"/>
      <c r="G96" s="3"/>
      <c r="H96" s="3"/>
      <c r="I96" s="3"/>
      <c r="J96" s="3"/>
      <c r="K96" s="3"/>
      <c r="L96" s="3"/>
      <c r="M96" s="3"/>
      <c r="N96" s="3"/>
      <c r="O96" s="3"/>
      <c r="P96" s="3"/>
      <c r="Q96" s="3"/>
      <c r="R96" s="3"/>
      <c r="S96" s="3"/>
      <c r="T96" s="3"/>
      <c r="U96" s="3"/>
      <c r="V96" s="3"/>
      <c r="W96" s="3"/>
      <c r="X96" s="3"/>
      <c r="Y96" s="3"/>
      <c r="Z96" s="3"/>
    </row>
    <row r="97" customFormat="false" ht="15.75" hidden="false" customHeight="true" outlineLevel="0" collapsed="false">
      <c r="A97" s="3"/>
      <c r="B97" s="3"/>
      <c r="C97" s="3"/>
      <c r="D97" s="3"/>
      <c r="E97" s="3"/>
      <c r="F97" s="3"/>
      <c r="G97" s="3"/>
      <c r="H97" s="3"/>
      <c r="I97" s="3"/>
      <c r="J97" s="3"/>
      <c r="K97" s="3"/>
      <c r="L97" s="3"/>
      <c r="M97" s="3"/>
      <c r="N97" s="3"/>
      <c r="O97" s="3"/>
      <c r="P97" s="3"/>
      <c r="Q97" s="3"/>
      <c r="R97" s="3"/>
      <c r="S97" s="3"/>
      <c r="T97" s="3"/>
      <c r="U97" s="3"/>
      <c r="V97" s="3"/>
      <c r="W97" s="3"/>
      <c r="X97" s="3"/>
      <c r="Y97" s="3"/>
      <c r="Z97" s="3"/>
    </row>
    <row r="98" customFormat="false" ht="15.75" hidden="false" customHeight="true" outlineLevel="0" collapsed="false">
      <c r="A98" s="3"/>
      <c r="B98" s="3"/>
      <c r="C98" s="3"/>
      <c r="D98" s="3"/>
      <c r="E98" s="3"/>
      <c r="F98" s="3"/>
      <c r="G98" s="3"/>
      <c r="H98" s="3"/>
      <c r="I98" s="3"/>
      <c r="J98" s="3"/>
      <c r="K98" s="3"/>
      <c r="L98" s="3"/>
      <c r="M98" s="3"/>
      <c r="N98" s="3"/>
      <c r="O98" s="3"/>
      <c r="P98" s="3"/>
      <c r="Q98" s="3"/>
      <c r="R98" s="3"/>
      <c r="S98" s="3"/>
      <c r="T98" s="3"/>
      <c r="U98" s="3"/>
      <c r="V98" s="3"/>
      <c r="W98" s="3"/>
      <c r="X98" s="3"/>
      <c r="Y98" s="3"/>
      <c r="Z98" s="3"/>
    </row>
    <row r="99" customFormat="false" ht="15.75" hidden="false" customHeight="true" outlineLevel="0" collapsed="false">
      <c r="A99" s="3"/>
      <c r="B99" s="3"/>
      <c r="C99" s="3"/>
      <c r="D99" s="3"/>
      <c r="E99" s="3"/>
      <c r="F99" s="3"/>
      <c r="G99" s="3"/>
      <c r="H99" s="3"/>
      <c r="I99" s="3"/>
      <c r="J99" s="3"/>
      <c r="K99" s="3"/>
      <c r="L99" s="3"/>
      <c r="M99" s="3"/>
      <c r="N99" s="3"/>
      <c r="O99" s="3"/>
      <c r="P99" s="3"/>
      <c r="Q99" s="3"/>
      <c r="R99" s="3"/>
      <c r="S99" s="3"/>
      <c r="T99" s="3"/>
      <c r="U99" s="3"/>
      <c r="V99" s="3"/>
      <c r="W99" s="3"/>
      <c r="X99" s="3"/>
      <c r="Y99" s="3"/>
      <c r="Z99" s="3"/>
    </row>
    <row r="100" customFormat="false" ht="15.75" hidden="false" customHeight="true" outlineLevel="0" collapsed="false">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ustomFormat="false" ht="15.75" hidden="false" customHeight="true" outlineLevel="0" collapsed="false">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ustomFormat="false" ht="15.75" hidden="false" customHeight="true" outlineLevel="0" collapsed="false">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ustomFormat="false" ht="15.75" hidden="false" customHeight="true" outlineLevel="0" collapsed="false">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ustomFormat="false" ht="15.75" hidden="false" customHeight="true" outlineLevel="0" collapsed="false">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ustomFormat="false" ht="15.75" hidden="false" customHeight="true" outlineLevel="0" collapsed="false">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ustomFormat="false" ht="15.75" hidden="false" customHeight="true" outlineLevel="0" collapsed="false">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ustomFormat="false" ht="15.75" hidden="false" customHeight="true" outlineLevel="0" collapsed="false">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ustomFormat="false" ht="15.75" hidden="false" customHeight="true" outlineLevel="0" collapsed="false">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ustomFormat="false" ht="15.75" hidden="false" customHeight="true" outlineLevel="0" collapsed="false">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ustomFormat="false" ht="15.75" hidden="false" customHeight="true" outlineLevel="0" collapsed="false">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ustomFormat="false" ht="15.75" hidden="false" customHeight="true" outlineLevel="0" collapsed="false">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ustomFormat="false" ht="15.75" hidden="false" customHeight="true" outlineLevel="0" collapsed="false">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ustomFormat="false" ht="15.75" hidden="false" customHeight="true" outlineLevel="0" collapsed="false">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ustomFormat="false" ht="15.75" hidden="false" customHeight="true" outlineLevel="0" collapsed="false">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ustomFormat="false" ht="15.75" hidden="false" customHeight="true" outlineLevel="0" collapsed="false">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ustomFormat="false" ht="15.75" hidden="false" customHeight="true" outlineLevel="0" collapsed="false">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ustomFormat="false" ht="15.75" hidden="false" customHeight="true" outlineLevel="0" collapsed="false">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ustomFormat="false" ht="15.75" hidden="false" customHeight="true" outlineLevel="0" collapsed="false">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ustomFormat="false" ht="15.75" hidden="false" customHeight="true" outlineLevel="0" collapsed="false">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ustomFormat="false" ht="15.75" hidden="false" customHeight="true" outlineLevel="0" collapsed="false">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ustomFormat="false" ht="15.75" hidden="false" customHeight="true" outlineLevel="0" collapsed="false">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ustomFormat="false" ht="15.75" hidden="false" customHeight="true" outlineLevel="0" collapsed="false">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ustomFormat="false" ht="15.75" hidden="false" customHeight="true" outlineLevel="0" collapsed="false">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ustomFormat="false" ht="15.75" hidden="false" customHeight="true" outlineLevel="0" collapsed="false">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ustomFormat="false" ht="15.75" hidden="false" customHeight="true" outlineLevel="0" collapsed="false">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ustomFormat="false" ht="15.75" hidden="false" customHeight="true" outlineLevel="0" collapsed="false">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ustomFormat="false" ht="15.75" hidden="false" customHeight="true" outlineLevel="0" collapsed="false">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ustomFormat="false" ht="15.75" hidden="false" customHeight="true" outlineLevel="0" collapsed="false">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ustomFormat="false" ht="15.75" hidden="false" customHeight="true" outlineLevel="0" collapsed="false">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ustomFormat="false" ht="15.75" hidden="false" customHeight="true" outlineLevel="0" collapsed="false">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ustomFormat="false" ht="15.75" hidden="false" customHeight="true" outlineLevel="0" collapsed="false">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ustomFormat="false" ht="15.75" hidden="false" customHeight="true" outlineLevel="0" collapsed="false">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ustomFormat="false" ht="15.75" hidden="false" customHeight="true" outlineLevel="0" collapsed="false">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ustomFormat="false" ht="15.75" hidden="false" customHeight="true" outlineLevel="0" collapsed="false">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ustomFormat="false" ht="15.75" hidden="false" customHeight="true" outlineLevel="0" collapsed="false">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ustomFormat="false" ht="15.75" hidden="false" customHeight="true" outlineLevel="0" collapsed="false">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ustomFormat="false" ht="15.75" hidden="false" customHeight="true" outlineLevel="0" collapsed="false">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ustomFormat="false" ht="15.75" hidden="false" customHeight="true" outlineLevel="0" collapsed="false">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ustomFormat="false" ht="15.75" hidden="false" customHeight="true" outlineLevel="0" collapsed="false">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ustomFormat="false" ht="15.75" hidden="false" customHeight="true" outlineLevel="0" collapsed="false">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ustomFormat="false" ht="15.75" hidden="false" customHeight="true" outlineLevel="0" collapsed="false">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ustomFormat="false" ht="15.75" hidden="false" customHeight="true" outlineLevel="0" collapsed="false">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ustomFormat="false" ht="15.75" hidden="false" customHeight="true" outlineLevel="0" collapsed="false">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ustomFormat="false" ht="15.75" hidden="false" customHeight="true" outlineLevel="0" collapsed="false">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ustomFormat="false" ht="15.75" hidden="false" customHeight="true" outlineLevel="0" collapsed="false">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ustomFormat="false" ht="15.75" hidden="false" customHeight="true" outlineLevel="0" collapsed="false">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ustomFormat="false" ht="15.75" hidden="false" customHeight="true" outlineLevel="0" collapsed="false">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ustomFormat="false" ht="15.75" hidden="false" customHeight="true" outlineLevel="0" collapsed="false">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ustomFormat="false" ht="15.75" hidden="false" customHeight="true" outlineLevel="0" collapsed="false">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ustomFormat="false" ht="15.75" hidden="false" customHeight="true" outlineLevel="0" collapsed="false">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ustomFormat="false" ht="15.75" hidden="false" customHeight="true" outlineLevel="0" collapsed="false">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ustomFormat="false" ht="15.75" hidden="false" customHeight="true" outlineLevel="0" collapsed="false">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ustomFormat="false" ht="15.75" hidden="false" customHeight="true" outlineLevel="0" collapsed="false">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ustomFormat="false" ht="15.75" hidden="false" customHeight="true" outlineLevel="0" collapsed="false">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ustomFormat="false" ht="15.75" hidden="false" customHeight="true" outlineLevel="0" collapsed="false">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ustomFormat="false" ht="15.75" hidden="false" customHeight="true" outlineLevel="0" collapsed="false">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ustomFormat="false" ht="15.75" hidden="false" customHeight="true" outlineLevel="0" collapsed="false">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ustomFormat="false" ht="15.75" hidden="false" customHeight="true" outlineLevel="0" collapsed="false">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ustomFormat="false" ht="15.75" hidden="false" customHeight="true" outlineLevel="0" collapsed="false">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ustomFormat="false" ht="15.75" hidden="false" customHeight="true" outlineLevel="0" collapsed="false">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ustomFormat="false" ht="15.75" hidden="false" customHeight="true" outlineLevel="0" collapsed="false">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ustomFormat="false" ht="15.75" hidden="false" customHeight="true" outlineLevel="0" collapsed="false">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ustomFormat="false" ht="15.75" hidden="false" customHeight="true" outlineLevel="0" collapsed="false">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ustomFormat="false" ht="15.75" hidden="false" customHeight="true" outlineLevel="0" collapsed="false">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ustomFormat="false" ht="15.75" hidden="false" customHeight="true" outlineLevel="0" collapsed="false">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ustomFormat="false" ht="15.75" hidden="false" customHeight="true" outlineLevel="0" collapsed="false">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ustomFormat="false" ht="15.75" hidden="false" customHeight="true" outlineLevel="0" collapsed="false">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ustomFormat="false" ht="15.75" hidden="false" customHeight="true" outlineLevel="0" collapsed="false">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ustomFormat="false" ht="15.75" hidden="false" customHeight="true" outlineLevel="0" collapsed="false">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ustomFormat="false" ht="15.75" hidden="false" customHeight="true" outlineLevel="0" collapsed="false">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ustomFormat="false" ht="15.75" hidden="false" customHeight="true" outlineLevel="0" collapsed="false">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ustomFormat="false" ht="15.75" hidden="false" customHeight="true" outlineLevel="0" collapsed="false">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ustomFormat="false" ht="15.75" hidden="false" customHeight="true" outlineLevel="0" collapsed="false">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ustomFormat="false" ht="15.75" hidden="false" customHeight="true" outlineLevel="0" collapsed="false">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ustomFormat="false" ht="15.75" hidden="false" customHeight="true" outlineLevel="0" collapsed="false">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ustomFormat="false" ht="15.75" hidden="false" customHeight="true" outlineLevel="0" collapsed="false">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ustomFormat="false" ht="15.75" hidden="false" customHeight="true" outlineLevel="0" collapsed="false">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ustomFormat="false" ht="15.75" hidden="false" customHeight="true" outlineLevel="0" collapsed="false">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ustomFormat="false" ht="15.75" hidden="false" customHeight="true" outlineLevel="0" collapsed="false">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ustomFormat="false" ht="15.75" hidden="false" customHeight="true" outlineLevel="0" collapsed="false">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ustomFormat="false" ht="15.75" hidden="false" customHeight="true" outlineLevel="0" collapsed="false">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ustomFormat="false" ht="15.75" hidden="false" customHeight="true" outlineLevel="0" collapsed="false">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ustomFormat="false" ht="15.75" hidden="false" customHeight="true" outlineLevel="0" collapsed="false">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ustomFormat="false" ht="15.75" hidden="false" customHeight="true" outlineLevel="0" collapsed="false">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ustomFormat="false" ht="15.75" hidden="false" customHeight="true" outlineLevel="0" collapsed="false">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ustomFormat="false" ht="15.75" hidden="false" customHeight="true" outlineLevel="0" collapsed="false">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ustomFormat="false" ht="15.75" hidden="false" customHeight="true" outlineLevel="0" collapsed="false">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ustomFormat="false" ht="15.75" hidden="false" customHeight="true" outlineLevel="0" collapsed="false">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ustomFormat="false" ht="15.75" hidden="false" customHeight="true" outlineLevel="0" collapsed="false">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ustomFormat="false" ht="15.75" hidden="false" customHeight="true" outlineLevel="0" collapsed="false">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ustomFormat="false" ht="15.75" hidden="false" customHeight="true" outlineLevel="0" collapsed="false">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ustomFormat="false" ht="15.75" hidden="false" customHeight="true" outlineLevel="0" collapsed="false">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ustomFormat="false" ht="15.75" hidden="false" customHeight="true" outlineLevel="0" collapsed="false">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ustomFormat="false" ht="15.75" hidden="false" customHeight="true" outlineLevel="0" collapsed="false">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ustomFormat="false" ht="15.75" hidden="false" customHeight="true" outlineLevel="0" collapsed="false">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ustomFormat="false" ht="15.75" hidden="false" customHeight="true" outlineLevel="0" collapsed="false">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ustomFormat="false" ht="15.75" hidden="false" customHeight="true" outlineLevel="0" collapsed="false">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ustomFormat="false" ht="15.75" hidden="false" customHeight="true" outlineLevel="0" collapsed="false">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ustomFormat="false" ht="15.75" hidden="false" customHeight="true" outlineLevel="0" collapsed="false">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ustomFormat="false" ht="15.75" hidden="false" customHeight="true" outlineLevel="0" collapsed="false">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ustomFormat="false" ht="15.75" hidden="false" customHeight="true" outlineLevel="0" collapsed="false">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ustomFormat="false" ht="15.75" hidden="false" customHeight="true" outlineLevel="0" collapsed="false">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ustomFormat="false" ht="15.75" hidden="false" customHeight="true" outlineLevel="0" collapsed="false">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ustomFormat="false" ht="15.75" hidden="false" customHeight="true" outlineLevel="0" collapsed="false">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ustomFormat="false" ht="15.75" hidden="false" customHeight="true" outlineLevel="0" collapsed="false">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ustomFormat="false" ht="15.75" hidden="false" customHeight="true" outlineLevel="0" collapsed="false">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ustomFormat="false" ht="15.75" hidden="false" customHeight="true" outlineLevel="0" collapsed="false">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ustomFormat="false" ht="15.75" hidden="false" customHeight="true" outlineLevel="0" collapsed="false">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ustomFormat="false" ht="15.75" hidden="false" customHeight="true" outlineLevel="0" collapsed="false">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ustomFormat="false" ht="15.75" hidden="false" customHeight="true" outlineLevel="0" collapsed="false">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ustomFormat="false" ht="15.75" hidden="false" customHeight="true" outlineLevel="0" collapsed="false">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ustomFormat="false" ht="15.75" hidden="false" customHeight="true" outlineLevel="0" collapsed="false">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ustomFormat="false" ht="15.75" hidden="false" customHeight="true" outlineLevel="0" collapsed="false">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ustomFormat="false" ht="15.75" hidden="false" customHeight="true" outlineLevel="0" collapsed="false">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ustomFormat="false" ht="15.75" hidden="false" customHeight="true" outlineLevel="0" collapsed="false">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ustomFormat="false" ht="15.75" hidden="false" customHeight="true" outlineLevel="0" collapsed="false">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ustomFormat="false" ht="15.75" hidden="false" customHeight="true" outlineLevel="0" collapsed="false">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ustomFormat="false" ht="15.75" hidden="false" customHeight="true" outlineLevel="0" collapsed="false">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ustomFormat="false" ht="15.75" hidden="false" customHeight="true" outlineLevel="0" collapsed="false">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ustomFormat="false" ht="15.75" hidden="false" customHeight="true" outlineLevel="0" collapsed="false">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ustomFormat="false" ht="15.75" hidden="false" customHeight="true" outlineLevel="0" collapsed="false">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ustomFormat="false" ht="15.75" hidden="false" customHeight="true" outlineLevel="0" collapsed="false">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ustomFormat="false" ht="15.75" hidden="false" customHeight="true" outlineLevel="0" collapsed="false">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ustomFormat="false" ht="15.75" hidden="false" customHeight="true" outlineLevel="0" collapsed="false">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ustomFormat="false" ht="15.75" hidden="false" customHeight="true" outlineLevel="0" collapsed="false">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ustomFormat="false" ht="15.75" hidden="false" customHeight="true" outlineLevel="0" collapsed="false">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ustomFormat="false" ht="15.75" hidden="false" customHeight="true" outlineLevel="0" collapsed="false">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ustomFormat="false" ht="15.75" hidden="false" customHeight="true" outlineLevel="0" collapsed="false">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ustomFormat="false" ht="15.75" hidden="false" customHeight="true" outlineLevel="0" collapsed="false">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ustomFormat="false" ht="15.75" hidden="false" customHeight="true" outlineLevel="0" collapsed="false">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ustomFormat="false" ht="15.75" hidden="false" customHeight="true" outlineLevel="0" collapsed="false">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ustomFormat="false" ht="15.75" hidden="false" customHeight="true" outlineLevel="0" collapsed="false">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ustomFormat="false" ht="15.75" hidden="false" customHeight="true" outlineLevel="0" collapsed="false">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ustomFormat="false" ht="15.75" hidden="false" customHeight="true" outlineLevel="0" collapsed="false">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ustomFormat="false" ht="15.75" hidden="false" customHeight="true" outlineLevel="0" collapsed="false">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ustomFormat="false" ht="15.75" hidden="false" customHeight="true" outlineLevel="0" collapsed="false">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ustomFormat="false" ht="15.75" hidden="false" customHeight="true" outlineLevel="0" collapsed="false">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ustomFormat="false" ht="15.75" hidden="false" customHeight="true" outlineLevel="0" collapsed="false">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ustomFormat="false" ht="15.75" hidden="false" customHeight="true" outlineLevel="0" collapsed="false">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ustomFormat="false" ht="15.75" hidden="false" customHeight="true" outlineLevel="0" collapsed="false">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ustomFormat="false" ht="15.75" hidden="false" customHeight="true" outlineLevel="0" collapsed="false">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ustomFormat="false" ht="15.75" hidden="false" customHeight="true" outlineLevel="0" collapsed="false">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ustomFormat="false" ht="15.75" hidden="false" customHeight="true" outlineLevel="0" collapsed="false">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ustomFormat="false" ht="15.75" hidden="false" customHeight="true" outlineLevel="0" collapsed="false">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ustomFormat="false" ht="15.75" hidden="false" customHeight="true" outlineLevel="0" collapsed="false">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ustomFormat="false" ht="15.75" hidden="false" customHeight="true" outlineLevel="0" collapsed="false">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ustomFormat="false" ht="15.75" hidden="false" customHeight="true" outlineLevel="0" collapsed="false">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ustomFormat="false" ht="15.75" hidden="false" customHeight="true" outlineLevel="0" collapsed="false">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ustomFormat="false" ht="15.75" hidden="false" customHeight="true" outlineLevel="0" collapsed="false">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ustomFormat="false" ht="15.75" hidden="false" customHeight="true" outlineLevel="0" collapsed="false">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ustomFormat="false" ht="15.75" hidden="false" customHeight="true" outlineLevel="0" collapsed="false">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ustomFormat="false" ht="15.75" hidden="false" customHeight="true" outlineLevel="0" collapsed="false">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ustomFormat="false" ht="15.75" hidden="false" customHeight="true" outlineLevel="0" collapsed="false">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ustomFormat="false" ht="15.75" hidden="false" customHeight="true" outlineLevel="0" collapsed="false">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ustomFormat="false" ht="15.75" hidden="false" customHeight="true" outlineLevel="0" collapsed="false">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ustomFormat="false" ht="15.75" hidden="false" customHeight="true" outlineLevel="0" collapsed="false">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ustomFormat="false" ht="15.75" hidden="false" customHeight="true" outlineLevel="0" collapsed="false">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ustomFormat="false" ht="15.75" hidden="false" customHeight="true" outlineLevel="0" collapsed="false">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ustomFormat="false" ht="15.75" hidden="false" customHeight="true" outlineLevel="0" collapsed="false">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ustomFormat="false" ht="15.75" hidden="false" customHeight="true" outlineLevel="0" collapsed="false">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ustomFormat="false" ht="15.75" hidden="false" customHeight="true" outlineLevel="0" collapsed="false">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ustomFormat="false" ht="15.75" hidden="false" customHeight="true" outlineLevel="0" collapsed="false">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ustomFormat="false" ht="15.75" hidden="false" customHeight="true" outlineLevel="0" collapsed="false">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ustomFormat="false" ht="15.75" hidden="false" customHeight="true" outlineLevel="0" collapsed="false">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ustomFormat="false" ht="15.75" hidden="false" customHeight="true" outlineLevel="0" collapsed="false">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ustomFormat="false" ht="15.75" hidden="false" customHeight="true" outlineLevel="0" collapsed="false">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ustomFormat="false" ht="15.75" hidden="false" customHeight="true" outlineLevel="0" collapsed="false">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ustomFormat="false" ht="15.75" hidden="false" customHeight="true" outlineLevel="0" collapsed="false">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ustomFormat="false" ht="15.75" hidden="false" customHeight="true" outlineLevel="0" collapsed="false">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ustomFormat="false" ht="15.75" hidden="false" customHeight="true" outlineLevel="0" collapsed="false">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ustomFormat="false" ht="15.75" hidden="false" customHeight="true" outlineLevel="0" collapsed="false">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ustomFormat="false" ht="15.75" hidden="false" customHeight="true" outlineLevel="0" collapsed="false">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ustomFormat="false" ht="15.75" hidden="false" customHeight="true" outlineLevel="0" collapsed="false">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ustomFormat="false" ht="15.75" hidden="false" customHeight="true" outlineLevel="0" collapsed="false">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ustomFormat="false" ht="15.75" hidden="false" customHeight="true" outlineLevel="0" collapsed="false">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ustomFormat="false" ht="15.75" hidden="false" customHeight="true" outlineLevel="0" collapsed="false">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ustomFormat="false" ht="15.75" hidden="false" customHeight="true" outlineLevel="0" collapsed="false">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ustomFormat="false" ht="15.75" hidden="false" customHeight="true" outlineLevel="0" collapsed="false">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ustomFormat="false" ht="15.75" hidden="false" customHeight="true" outlineLevel="0" collapsed="false">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ustomFormat="false" ht="15.75" hidden="false" customHeight="true" outlineLevel="0" collapsed="false">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ustomFormat="false" ht="15.75" hidden="false" customHeight="true" outlineLevel="0" collapsed="false">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ustomFormat="false" ht="15.75" hidden="false" customHeight="true" outlineLevel="0" collapsed="false">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ustomFormat="false" ht="15.75" hidden="false" customHeight="true" outlineLevel="0" collapsed="false">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ustomFormat="false" ht="15.75" hidden="false" customHeight="true" outlineLevel="0" collapsed="false">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ustomFormat="false" ht="15.75" hidden="false" customHeight="true" outlineLevel="0" collapsed="false">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ustomFormat="false" ht="15.75" hidden="false" customHeight="true" outlineLevel="0" collapsed="false">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ustomFormat="false" ht="15.75" hidden="false" customHeight="true" outlineLevel="0" collapsed="false">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ustomFormat="false" ht="15.75" hidden="false" customHeight="true" outlineLevel="0" collapsed="false">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ustomFormat="false" ht="15.75" hidden="false" customHeight="true" outlineLevel="0" collapsed="false">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ustomFormat="false" ht="15.75" hidden="false" customHeight="true" outlineLevel="0" collapsed="false">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ustomFormat="false" ht="15.75" hidden="false" customHeight="true" outlineLevel="0" collapsed="false">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ustomFormat="false" ht="15.75" hidden="false" customHeight="true" outlineLevel="0" collapsed="false">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ustomFormat="false" ht="15.75" hidden="false" customHeight="true" outlineLevel="0" collapsed="false">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ustomFormat="false" ht="15.75" hidden="false" customHeight="true" outlineLevel="0" collapsed="false">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ustomFormat="false" ht="15.75" hidden="false" customHeight="true" outlineLevel="0" collapsed="false">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ustomFormat="false" ht="15.75" hidden="false" customHeight="true" outlineLevel="0" collapsed="false">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ustomFormat="false" ht="15.75" hidden="false" customHeight="true" outlineLevel="0" collapsed="false">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ustomFormat="false" ht="15.75" hidden="false" customHeight="true" outlineLevel="0" collapsed="false">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ustomFormat="false" ht="15.75" hidden="false" customHeight="true" outlineLevel="0" collapsed="false">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ustomFormat="false" ht="15.75" hidden="false" customHeight="true" outlineLevel="0" collapsed="false">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ustomFormat="false" ht="15.75" hidden="false" customHeight="true" outlineLevel="0" collapsed="false">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ustomFormat="false" ht="15.75" hidden="false" customHeight="true" outlineLevel="0" collapsed="false">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ustomFormat="false" ht="15.75" hidden="false" customHeight="true" outlineLevel="0" collapsed="false">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ustomFormat="false" ht="15.75" hidden="false" customHeight="true" outlineLevel="0" collapsed="false">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ustomFormat="false" ht="15.75" hidden="false" customHeight="true" outlineLevel="0" collapsed="false">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ustomFormat="false" ht="15.75" hidden="false" customHeight="true" outlineLevel="0" collapsed="false">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ustomFormat="false" ht="15.75" hidden="false" customHeight="true" outlineLevel="0" collapsed="false">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ustomFormat="false" ht="15.75" hidden="false" customHeight="true" outlineLevel="0" collapsed="false">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ustomFormat="false" ht="15.75" hidden="false" customHeight="true" outlineLevel="0" collapsed="false">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ustomFormat="false" ht="15.75" hidden="false" customHeight="true" outlineLevel="0" collapsed="false">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ustomFormat="false" ht="15.75" hidden="false" customHeight="true" outlineLevel="0" collapsed="false">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ustomFormat="false" ht="15.75" hidden="false" customHeight="true" outlineLevel="0" collapsed="false">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ustomFormat="false" ht="15.75" hidden="false" customHeight="true" outlineLevel="0" collapsed="false">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ustomFormat="false" ht="15.75" hidden="false" customHeight="true" outlineLevel="0" collapsed="false">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ustomFormat="false" ht="15.75" hidden="false" customHeight="true" outlineLevel="0" collapsed="false">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ustomFormat="false" ht="15.75" hidden="false" customHeight="true" outlineLevel="0" collapsed="false">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ustomFormat="false" ht="15.75" hidden="false" customHeight="true" outlineLevel="0" collapsed="false">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ustomFormat="false" ht="15.75" hidden="false" customHeight="true" outlineLevel="0" collapsed="false">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ustomFormat="false" ht="15.75" hidden="false" customHeight="true" outlineLevel="0" collapsed="false">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ustomFormat="false" ht="15.75" hidden="false" customHeight="true" outlineLevel="0" collapsed="false">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ustomFormat="false" ht="15.75" hidden="false" customHeight="true" outlineLevel="0" collapsed="false">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ustomFormat="false" ht="15.75" hidden="false" customHeight="true" outlineLevel="0" collapsed="false">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ustomFormat="false" ht="15.75" hidden="false" customHeight="true" outlineLevel="0" collapsed="false">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ustomFormat="false" ht="15.75" hidden="false" customHeight="true" outlineLevel="0" collapsed="false">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ustomFormat="false" ht="15.75" hidden="false" customHeight="true" outlineLevel="0" collapsed="false">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ustomFormat="false" ht="15.75" hidden="false" customHeight="true" outlineLevel="0" collapsed="false">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ustomFormat="false" ht="15.75" hidden="false" customHeight="true" outlineLevel="0" collapsed="false">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ustomFormat="false" ht="15.75" hidden="false" customHeight="true" outlineLevel="0" collapsed="false">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ustomFormat="false" ht="15.75" hidden="false" customHeight="true" outlineLevel="0" collapsed="false">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ustomFormat="false" ht="15.75" hidden="false" customHeight="true" outlineLevel="0" collapsed="false">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ustomFormat="false" ht="15.75" hidden="false" customHeight="true" outlineLevel="0" collapsed="false">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ustomFormat="false" ht="15.75" hidden="false" customHeight="true" outlineLevel="0" collapsed="false">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ustomFormat="false" ht="15.75" hidden="false" customHeight="true" outlineLevel="0" collapsed="false">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ustomFormat="false" ht="15.75" hidden="false" customHeight="true" outlineLevel="0" collapsed="false">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ustomFormat="false" ht="15.75" hidden="false" customHeight="true" outlineLevel="0" collapsed="false">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ustomFormat="false" ht="15.75" hidden="false" customHeight="true" outlineLevel="0" collapsed="false">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ustomFormat="false" ht="15.75" hidden="false" customHeight="true" outlineLevel="0" collapsed="false">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ustomFormat="false" ht="15.75" hidden="false" customHeight="true" outlineLevel="0" collapsed="false">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ustomFormat="false" ht="15.75" hidden="false" customHeight="true" outlineLevel="0" collapsed="false">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ustomFormat="false" ht="15.75" hidden="false" customHeight="true" outlineLevel="0" collapsed="false">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ustomFormat="false" ht="15.75" hidden="false" customHeight="true" outlineLevel="0" collapsed="false">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ustomFormat="false" ht="15.75" hidden="false" customHeight="true" outlineLevel="0" collapsed="false">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ustomFormat="false" ht="15.75" hidden="false" customHeight="true" outlineLevel="0" collapsed="false">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ustomFormat="false" ht="15.75" hidden="false" customHeight="true" outlineLevel="0" collapsed="false">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ustomFormat="false" ht="15.75" hidden="false" customHeight="true" outlineLevel="0" collapsed="false">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ustomFormat="false" ht="15.75" hidden="false" customHeight="true" outlineLevel="0" collapsed="false">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ustomFormat="false" ht="15.75" hidden="false" customHeight="true" outlineLevel="0" collapsed="false">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ustomFormat="false" ht="15.75" hidden="false" customHeight="true" outlineLevel="0" collapsed="false">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ustomFormat="false" ht="15.75" hidden="false" customHeight="true" outlineLevel="0" collapsed="false">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ustomFormat="false" ht="15.75" hidden="false" customHeight="true" outlineLevel="0" collapsed="false">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ustomFormat="false" ht="15.75" hidden="false" customHeight="true" outlineLevel="0" collapsed="false">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ustomFormat="false" ht="15.75" hidden="false" customHeight="true" outlineLevel="0" collapsed="false">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ustomFormat="false" ht="15.75" hidden="false" customHeight="true" outlineLevel="0" collapsed="false">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ustomFormat="false" ht="15.75" hidden="false" customHeight="true" outlineLevel="0" collapsed="false">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ustomFormat="false" ht="15.75" hidden="false" customHeight="true" outlineLevel="0" collapsed="false">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ustomFormat="false" ht="15.75" hidden="false" customHeight="true" outlineLevel="0" collapsed="false">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ustomFormat="false" ht="15.75" hidden="false" customHeight="true" outlineLevel="0" collapsed="false">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ustomFormat="false" ht="15.75" hidden="false" customHeight="true" outlineLevel="0" collapsed="false">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ustomFormat="false" ht="15.75" hidden="false" customHeight="true" outlineLevel="0" collapsed="false">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ustomFormat="false" ht="15.75" hidden="false" customHeight="true" outlineLevel="0" collapsed="false">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ustomFormat="false" ht="15.75" hidden="false" customHeight="true" outlineLevel="0" collapsed="false">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ustomFormat="false" ht="15.75" hidden="false" customHeight="true" outlineLevel="0" collapsed="false">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ustomFormat="false" ht="15.75" hidden="false" customHeight="true" outlineLevel="0" collapsed="false">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ustomFormat="false" ht="15.75" hidden="false" customHeight="true" outlineLevel="0" collapsed="false">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ustomFormat="false" ht="15.75" hidden="false" customHeight="true" outlineLevel="0" collapsed="false">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ustomFormat="false" ht="15.75" hidden="false" customHeight="true" outlineLevel="0" collapsed="false">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ustomFormat="false" ht="15.75" hidden="false" customHeight="true" outlineLevel="0" collapsed="false">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ustomFormat="false" ht="15.75" hidden="false" customHeight="true" outlineLevel="0" collapsed="false">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ustomFormat="false" ht="15.75" hidden="false" customHeight="true" outlineLevel="0" collapsed="false">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ustomFormat="false" ht="15.75" hidden="false" customHeight="true" outlineLevel="0" collapsed="false">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ustomFormat="false" ht="15.75" hidden="false" customHeight="true" outlineLevel="0" collapsed="false">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ustomFormat="false" ht="15.75" hidden="false" customHeight="true" outlineLevel="0" collapsed="false">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ustomFormat="false" ht="15.75" hidden="false" customHeight="true" outlineLevel="0" collapsed="false">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ustomFormat="false" ht="15.75" hidden="false" customHeight="true" outlineLevel="0" collapsed="false">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ustomFormat="false" ht="15.75" hidden="false" customHeight="true" outlineLevel="0" collapsed="false">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ustomFormat="false" ht="15.75" hidden="false" customHeight="true" outlineLevel="0" collapsed="false">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ustomFormat="false" ht="15.75" hidden="false" customHeight="true" outlineLevel="0" collapsed="false">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ustomFormat="false" ht="15.75" hidden="false" customHeight="true" outlineLevel="0" collapsed="false">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ustomFormat="false" ht="15.75" hidden="false" customHeight="true" outlineLevel="0" collapsed="false">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ustomFormat="false" ht="15.75" hidden="false" customHeight="true" outlineLevel="0" collapsed="false">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ustomFormat="false" ht="15.75" hidden="false" customHeight="true" outlineLevel="0" collapsed="false">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ustomFormat="false" ht="15.75" hidden="false" customHeight="true" outlineLevel="0" collapsed="false">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ustomFormat="false" ht="15.75" hidden="false" customHeight="true" outlineLevel="0" collapsed="false">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ustomFormat="false" ht="15.75" hidden="false" customHeight="true" outlineLevel="0" collapsed="false">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ustomFormat="false" ht="15.75" hidden="false" customHeight="true" outlineLevel="0" collapsed="false">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ustomFormat="false" ht="15.75" hidden="false" customHeight="true" outlineLevel="0" collapsed="false">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ustomFormat="false" ht="15.75" hidden="false" customHeight="true" outlineLevel="0" collapsed="false">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ustomFormat="false" ht="15.75" hidden="false" customHeight="true" outlineLevel="0" collapsed="false">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ustomFormat="false" ht="15.75" hidden="false" customHeight="true" outlineLevel="0" collapsed="false">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ustomFormat="false" ht="15.75" hidden="false" customHeight="true" outlineLevel="0" collapsed="false">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ustomFormat="false" ht="15.75" hidden="false" customHeight="true" outlineLevel="0" collapsed="false">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ustomFormat="false" ht="15.75" hidden="false" customHeight="true" outlineLevel="0" collapsed="false">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ustomFormat="false" ht="15.75" hidden="false" customHeight="true" outlineLevel="0" collapsed="false">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ustomFormat="false" ht="15.75" hidden="false" customHeight="true" outlineLevel="0" collapsed="false">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ustomFormat="false" ht="15.75" hidden="false" customHeight="true" outlineLevel="0" collapsed="false">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ustomFormat="false" ht="15.75" hidden="false" customHeight="true" outlineLevel="0" collapsed="false">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ustomFormat="false" ht="15.75" hidden="false" customHeight="true" outlineLevel="0" collapsed="false">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ustomFormat="false" ht="15.75" hidden="false" customHeight="true" outlineLevel="0" collapsed="false">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ustomFormat="false" ht="15.75" hidden="false" customHeight="true" outlineLevel="0" collapsed="false">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ustomFormat="false" ht="15.75" hidden="false" customHeight="true" outlineLevel="0" collapsed="false">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ustomFormat="false" ht="15.75" hidden="false" customHeight="true" outlineLevel="0" collapsed="false">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ustomFormat="false" ht="15.75" hidden="false" customHeight="true" outlineLevel="0" collapsed="false">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ustomFormat="false" ht="15.75" hidden="false" customHeight="true" outlineLevel="0" collapsed="false">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ustomFormat="false" ht="15.75" hidden="false" customHeight="true" outlineLevel="0" collapsed="false">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ustomFormat="false" ht="15.75" hidden="false" customHeight="true" outlineLevel="0" collapsed="false">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ustomFormat="false" ht="15.75" hidden="false" customHeight="true" outlineLevel="0" collapsed="false">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ustomFormat="false" ht="15.75" hidden="false" customHeight="true" outlineLevel="0" collapsed="false">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ustomFormat="false" ht="15.75" hidden="false" customHeight="true" outlineLevel="0" collapsed="false">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ustomFormat="false" ht="15.75" hidden="false" customHeight="true" outlineLevel="0" collapsed="false">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ustomFormat="false" ht="15.75" hidden="false" customHeight="true" outlineLevel="0" collapsed="false">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ustomFormat="false" ht="15.75" hidden="false" customHeight="true" outlineLevel="0" collapsed="false">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ustomFormat="false" ht="15.75" hidden="false" customHeight="true" outlineLevel="0" collapsed="false">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ustomFormat="false" ht="15.75" hidden="false" customHeight="true" outlineLevel="0" collapsed="false">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ustomFormat="false" ht="15.75" hidden="false" customHeight="true" outlineLevel="0" collapsed="false">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ustomFormat="false" ht="15.75" hidden="false" customHeight="true" outlineLevel="0" collapsed="false">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ustomFormat="false" ht="15.75" hidden="false" customHeight="true" outlineLevel="0" collapsed="false">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ustomFormat="false" ht="15.75" hidden="false" customHeight="true" outlineLevel="0" collapsed="false">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ustomFormat="false" ht="15.75" hidden="false" customHeight="true" outlineLevel="0" collapsed="false">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ustomFormat="false" ht="15.75" hidden="false" customHeight="true" outlineLevel="0" collapsed="false">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ustomFormat="false" ht="15.75" hidden="false" customHeight="true" outlineLevel="0" collapsed="false">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ustomFormat="false" ht="15.75" hidden="false" customHeight="true" outlineLevel="0" collapsed="false">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ustomFormat="false" ht="15.75" hidden="false" customHeight="true" outlineLevel="0" collapsed="false">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ustomFormat="false" ht="15.75" hidden="false" customHeight="true" outlineLevel="0" collapsed="false">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ustomFormat="false" ht="15.75" hidden="false" customHeight="true" outlineLevel="0" collapsed="false">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ustomFormat="false" ht="15.75" hidden="false" customHeight="true" outlineLevel="0" collapsed="false">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ustomFormat="false" ht="15.75" hidden="false" customHeight="true" outlineLevel="0" collapsed="false">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ustomFormat="false" ht="15.75" hidden="false" customHeight="true" outlineLevel="0" collapsed="false">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ustomFormat="false" ht="15.75" hidden="false" customHeight="true" outlineLevel="0" collapsed="false">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ustomFormat="false" ht="15.75" hidden="false" customHeight="true" outlineLevel="0" collapsed="false">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ustomFormat="false" ht="15.75" hidden="false" customHeight="true" outlineLevel="0" collapsed="false">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ustomFormat="false" ht="15.75" hidden="false" customHeight="true" outlineLevel="0" collapsed="false">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ustomFormat="false" ht="15.75" hidden="false" customHeight="true" outlineLevel="0" collapsed="false">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ustomFormat="false" ht="15.75" hidden="false" customHeight="true" outlineLevel="0" collapsed="false">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ustomFormat="false" ht="15.75" hidden="false" customHeight="true" outlineLevel="0" collapsed="false">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ustomFormat="false" ht="15.75" hidden="false" customHeight="true" outlineLevel="0" collapsed="false">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ustomFormat="false" ht="15.75" hidden="false" customHeight="true" outlineLevel="0" collapsed="false">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ustomFormat="false" ht="15.75" hidden="false" customHeight="true" outlineLevel="0" collapsed="false">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ustomFormat="false" ht="15.75" hidden="false" customHeight="true" outlineLevel="0" collapsed="false">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ustomFormat="false" ht="15.75" hidden="false" customHeight="true" outlineLevel="0" collapsed="false">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ustomFormat="false" ht="15.75" hidden="false" customHeight="true" outlineLevel="0" collapsed="false">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ustomFormat="false" ht="15.75" hidden="false" customHeight="true" outlineLevel="0" collapsed="false">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ustomFormat="false" ht="15.75" hidden="false" customHeight="true" outlineLevel="0" collapsed="false">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ustomFormat="false" ht="15.75" hidden="false" customHeight="true" outlineLevel="0" collapsed="false">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ustomFormat="false" ht="15.75" hidden="false" customHeight="true" outlineLevel="0" collapsed="false">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ustomFormat="false" ht="15.75" hidden="false" customHeight="true" outlineLevel="0" collapsed="false">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ustomFormat="false" ht="15.75" hidden="false" customHeight="true" outlineLevel="0" collapsed="false">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ustomFormat="false" ht="15.75" hidden="false" customHeight="true" outlineLevel="0" collapsed="false">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ustomFormat="false" ht="15.75" hidden="false" customHeight="true" outlineLevel="0" collapsed="false">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ustomFormat="false" ht="15.75" hidden="false" customHeight="true" outlineLevel="0" collapsed="false">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ustomFormat="false" ht="15.75" hidden="false" customHeight="true" outlineLevel="0" collapsed="false">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ustomFormat="false" ht="15.75" hidden="false" customHeight="true" outlineLevel="0" collapsed="false">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ustomFormat="false" ht="15.75" hidden="false" customHeight="true" outlineLevel="0" collapsed="false">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ustomFormat="false" ht="15.75" hidden="false" customHeight="true" outlineLevel="0" collapsed="false">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ustomFormat="false" ht="15.75" hidden="false" customHeight="true" outlineLevel="0" collapsed="false">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ustomFormat="false" ht="15.75" hidden="false" customHeight="true" outlineLevel="0" collapsed="false">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ustomFormat="false" ht="15.75" hidden="false" customHeight="true" outlineLevel="0" collapsed="false">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ustomFormat="false" ht="15.75" hidden="false" customHeight="true" outlineLevel="0" collapsed="false">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ustomFormat="false" ht="15.75" hidden="false" customHeight="true" outlineLevel="0" collapsed="false">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ustomFormat="false" ht="15.75" hidden="false" customHeight="true" outlineLevel="0" collapsed="false">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ustomFormat="false" ht="15.75" hidden="false" customHeight="true" outlineLevel="0" collapsed="false">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ustomFormat="false" ht="15.75" hidden="false" customHeight="true" outlineLevel="0" collapsed="false">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ustomFormat="false" ht="15.75" hidden="false" customHeight="true" outlineLevel="0" collapsed="false">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ustomFormat="false" ht="15.75" hidden="false" customHeight="true" outlineLevel="0" collapsed="false">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ustomFormat="false" ht="15.75" hidden="false" customHeight="true" outlineLevel="0" collapsed="false">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ustomFormat="false" ht="15.75" hidden="false" customHeight="true" outlineLevel="0" collapsed="false">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ustomFormat="false" ht="15.75" hidden="false" customHeight="true" outlineLevel="0" collapsed="false">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ustomFormat="false" ht="15.75" hidden="false" customHeight="true" outlineLevel="0" collapsed="false">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ustomFormat="false" ht="15.75" hidden="false" customHeight="true" outlineLevel="0" collapsed="false">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ustomFormat="false" ht="15.75" hidden="false" customHeight="true" outlineLevel="0" collapsed="false">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ustomFormat="false" ht="15.75" hidden="false" customHeight="true" outlineLevel="0" collapsed="false">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ustomFormat="false" ht="15.75" hidden="false" customHeight="true" outlineLevel="0" collapsed="false">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ustomFormat="false" ht="15.75" hidden="false" customHeight="true" outlineLevel="0" collapsed="false">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ustomFormat="false" ht="15.75" hidden="false" customHeight="true" outlineLevel="0" collapsed="false">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ustomFormat="false" ht="15.75" hidden="false" customHeight="true" outlineLevel="0" collapsed="false">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ustomFormat="false" ht="15.75" hidden="false" customHeight="true" outlineLevel="0" collapsed="false">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ustomFormat="false" ht="15.75" hidden="false" customHeight="true" outlineLevel="0" collapsed="false">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ustomFormat="false" ht="15.75" hidden="false" customHeight="true" outlineLevel="0" collapsed="false">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ustomFormat="false" ht="15.75" hidden="false" customHeight="true" outlineLevel="0" collapsed="false">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ustomFormat="false" ht="15.75" hidden="false" customHeight="true" outlineLevel="0" collapsed="false">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ustomFormat="false" ht="15.75" hidden="false" customHeight="true" outlineLevel="0" collapsed="false">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ustomFormat="false" ht="15.75" hidden="false" customHeight="true" outlineLevel="0" collapsed="false">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ustomFormat="false" ht="15.75" hidden="false" customHeight="true" outlineLevel="0" collapsed="false">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ustomFormat="false" ht="15.75" hidden="false" customHeight="true" outlineLevel="0" collapsed="false">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ustomFormat="false" ht="15.75" hidden="false" customHeight="true" outlineLevel="0" collapsed="false">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ustomFormat="false" ht="15.75" hidden="false" customHeight="true" outlineLevel="0" collapsed="false">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ustomFormat="false" ht="15.75" hidden="false" customHeight="true" outlineLevel="0" collapsed="false">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ustomFormat="false" ht="15.75" hidden="false" customHeight="true" outlineLevel="0" collapsed="false">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ustomFormat="false" ht="15.75" hidden="false" customHeight="true" outlineLevel="0" collapsed="false">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ustomFormat="false" ht="15.75" hidden="false" customHeight="true" outlineLevel="0" collapsed="false">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ustomFormat="false" ht="15.75" hidden="false" customHeight="true" outlineLevel="0" collapsed="false">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ustomFormat="false" ht="15.75" hidden="false" customHeight="true" outlineLevel="0" collapsed="false">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ustomFormat="false" ht="15.75" hidden="false" customHeight="true" outlineLevel="0" collapsed="false">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ustomFormat="false" ht="15.75" hidden="false" customHeight="true" outlineLevel="0" collapsed="false">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ustomFormat="false" ht="15.75" hidden="false" customHeight="true" outlineLevel="0" collapsed="false">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ustomFormat="false" ht="15.75" hidden="false" customHeight="true" outlineLevel="0" collapsed="false">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ustomFormat="false" ht="15.75" hidden="false" customHeight="true" outlineLevel="0" collapsed="false">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ustomFormat="false" ht="15.75" hidden="false" customHeight="true" outlineLevel="0" collapsed="false">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ustomFormat="false" ht="15.75" hidden="false" customHeight="true" outlineLevel="0" collapsed="false">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ustomFormat="false" ht="15.75" hidden="false" customHeight="true" outlineLevel="0" collapsed="false">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ustomFormat="false" ht="15.75" hidden="false" customHeight="true" outlineLevel="0" collapsed="false">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ustomFormat="false" ht="15.75" hidden="false" customHeight="true" outlineLevel="0" collapsed="false">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ustomFormat="false" ht="15.75" hidden="false" customHeight="true" outlineLevel="0" collapsed="false">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ustomFormat="false" ht="15.75" hidden="false" customHeight="true" outlineLevel="0" collapsed="false">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ustomFormat="false" ht="15.75" hidden="false" customHeight="true" outlineLevel="0" collapsed="false">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ustomFormat="false" ht="15.75" hidden="false" customHeight="true" outlineLevel="0" collapsed="false">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ustomFormat="false" ht="15.75" hidden="false" customHeight="true" outlineLevel="0" collapsed="false">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ustomFormat="false" ht="15.75" hidden="false" customHeight="true" outlineLevel="0" collapsed="false">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ustomFormat="false" ht="15.75" hidden="false" customHeight="true" outlineLevel="0" collapsed="false">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ustomFormat="false" ht="15.75" hidden="false" customHeight="true" outlineLevel="0" collapsed="false">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ustomFormat="false" ht="15.75" hidden="false" customHeight="true" outlineLevel="0" collapsed="false">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ustomFormat="false" ht="15.75" hidden="false" customHeight="true" outlineLevel="0" collapsed="false">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ustomFormat="false" ht="15.75" hidden="false" customHeight="true" outlineLevel="0" collapsed="false">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ustomFormat="false" ht="15.75" hidden="false" customHeight="true" outlineLevel="0" collapsed="false">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ustomFormat="false" ht="15.75" hidden="false" customHeight="true" outlineLevel="0" collapsed="false">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ustomFormat="false" ht="15.75" hidden="false" customHeight="true" outlineLevel="0" collapsed="false">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ustomFormat="false" ht="15.75" hidden="false" customHeight="true" outlineLevel="0" collapsed="false">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ustomFormat="false" ht="15.75" hidden="false" customHeight="true" outlineLevel="0" collapsed="false">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ustomFormat="false" ht="15.75" hidden="false" customHeight="true" outlineLevel="0" collapsed="false">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ustomFormat="false" ht="15.75" hidden="false" customHeight="true" outlineLevel="0" collapsed="false">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ustomFormat="false" ht="15.75" hidden="false" customHeight="true" outlineLevel="0" collapsed="false">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ustomFormat="false" ht="15.75" hidden="false" customHeight="true" outlineLevel="0" collapsed="false">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ustomFormat="false" ht="15.75" hidden="false" customHeight="true" outlineLevel="0" collapsed="false">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ustomFormat="false" ht="15.75" hidden="false" customHeight="true" outlineLevel="0" collapsed="false">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ustomFormat="false" ht="15.75" hidden="false" customHeight="true" outlineLevel="0" collapsed="false">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ustomFormat="false" ht="15.75" hidden="false" customHeight="true" outlineLevel="0" collapsed="false">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ustomFormat="false" ht="15.75" hidden="false" customHeight="true" outlineLevel="0" collapsed="false">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ustomFormat="false" ht="15.75" hidden="false" customHeight="true" outlineLevel="0" collapsed="false">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ustomFormat="false" ht="15.75" hidden="false" customHeight="true" outlineLevel="0" collapsed="false">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ustomFormat="false" ht="15.75" hidden="false" customHeight="true" outlineLevel="0" collapsed="false">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ustomFormat="false" ht="15.75" hidden="false" customHeight="true" outlineLevel="0" collapsed="false">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ustomFormat="false" ht="15.75" hidden="false" customHeight="true" outlineLevel="0" collapsed="false">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ustomFormat="false" ht="15.75" hidden="false" customHeight="true" outlineLevel="0" collapsed="false">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ustomFormat="false" ht="15.75" hidden="false" customHeight="true" outlineLevel="0" collapsed="false">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ustomFormat="false" ht="15.75" hidden="false" customHeight="true" outlineLevel="0" collapsed="false">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ustomFormat="false" ht="15.75" hidden="false" customHeight="true" outlineLevel="0" collapsed="false">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ustomFormat="false" ht="15.75" hidden="false" customHeight="true" outlineLevel="0" collapsed="false">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ustomFormat="false" ht="15.75" hidden="false" customHeight="true" outlineLevel="0" collapsed="false">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ustomFormat="false" ht="15.75" hidden="false" customHeight="true" outlineLevel="0" collapsed="false">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ustomFormat="false" ht="15.75" hidden="false" customHeight="true" outlineLevel="0" collapsed="false">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ustomFormat="false" ht="15.75" hidden="false" customHeight="true" outlineLevel="0" collapsed="false">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ustomFormat="false" ht="15.75" hidden="false" customHeight="true" outlineLevel="0" collapsed="false">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ustomFormat="false" ht="15.75" hidden="false" customHeight="true" outlineLevel="0" collapsed="false">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ustomFormat="false" ht="15.75" hidden="false" customHeight="true" outlineLevel="0" collapsed="false">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ustomFormat="false" ht="15.75" hidden="false" customHeight="true" outlineLevel="0" collapsed="false">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ustomFormat="false" ht="15.75" hidden="false" customHeight="true" outlineLevel="0" collapsed="false">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ustomFormat="false" ht="15.75" hidden="false" customHeight="true" outlineLevel="0" collapsed="false">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ustomFormat="false" ht="15.75" hidden="false" customHeight="true" outlineLevel="0" collapsed="false">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ustomFormat="false" ht="15.75" hidden="false" customHeight="true" outlineLevel="0" collapsed="false">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ustomFormat="false" ht="15.75" hidden="false" customHeight="true" outlineLevel="0" collapsed="false">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ustomFormat="false" ht="15.75" hidden="false" customHeight="true" outlineLevel="0" collapsed="false">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ustomFormat="false" ht="15.75" hidden="false" customHeight="true" outlineLevel="0" collapsed="false">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ustomFormat="false" ht="15.75" hidden="false" customHeight="true" outlineLevel="0" collapsed="false">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ustomFormat="false" ht="15.75" hidden="false" customHeight="true" outlineLevel="0" collapsed="false">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ustomFormat="false" ht="15.75" hidden="false" customHeight="true" outlineLevel="0" collapsed="false">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ustomFormat="false" ht="15.75" hidden="false" customHeight="true" outlineLevel="0" collapsed="false">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ustomFormat="false" ht="15.75" hidden="false" customHeight="true" outlineLevel="0" collapsed="false">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ustomFormat="false" ht="15.75" hidden="false" customHeight="true" outlineLevel="0" collapsed="false">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ustomFormat="false" ht="15.75" hidden="false" customHeight="true" outlineLevel="0" collapsed="false">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ustomFormat="false" ht="15.75" hidden="false" customHeight="true" outlineLevel="0" collapsed="false">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ustomFormat="false" ht="15.75" hidden="false" customHeight="true" outlineLevel="0" collapsed="false">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ustomFormat="false" ht="15.75" hidden="false" customHeight="true" outlineLevel="0" collapsed="false">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ustomFormat="false" ht="15.75" hidden="false" customHeight="true" outlineLevel="0" collapsed="false">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ustomFormat="false" ht="15.75" hidden="false" customHeight="true" outlineLevel="0" collapsed="false">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ustomFormat="false" ht="15.75" hidden="false" customHeight="true" outlineLevel="0" collapsed="false">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ustomFormat="false" ht="15.75" hidden="false" customHeight="true" outlineLevel="0" collapsed="false">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ustomFormat="false" ht="15.75" hidden="false" customHeight="true" outlineLevel="0" collapsed="false">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ustomFormat="false" ht="15.75" hidden="false" customHeight="true" outlineLevel="0" collapsed="false">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ustomFormat="false" ht="15.75" hidden="false" customHeight="true" outlineLevel="0" collapsed="false">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ustomFormat="false" ht="15.75" hidden="false" customHeight="true" outlineLevel="0" collapsed="false">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ustomFormat="false" ht="15.75" hidden="false" customHeight="true" outlineLevel="0" collapsed="false">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ustomFormat="false" ht="15.75" hidden="false" customHeight="true" outlineLevel="0" collapsed="false">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ustomFormat="false" ht="15.75" hidden="false" customHeight="true" outlineLevel="0" collapsed="false">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ustomFormat="false" ht="15.75" hidden="false" customHeight="true" outlineLevel="0" collapsed="false">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ustomFormat="false" ht="15.75" hidden="false" customHeight="true" outlineLevel="0" collapsed="false">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ustomFormat="false" ht="15.75" hidden="false" customHeight="true" outlineLevel="0" collapsed="false">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ustomFormat="false" ht="15.75" hidden="false" customHeight="true" outlineLevel="0" collapsed="false">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ustomFormat="false" ht="15.75" hidden="false" customHeight="true" outlineLevel="0" collapsed="false">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ustomFormat="false" ht="15.75" hidden="false" customHeight="true" outlineLevel="0" collapsed="false">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ustomFormat="false" ht="15.75" hidden="false" customHeight="true" outlineLevel="0" collapsed="false">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ustomFormat="false" ht="15.75" hidden="false" customHeight="true" outlineLevel="0" collapsed="false">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ustomFormat="false" ht="15.75" hidden="false" customHeight="true" outlineLevel="0" collapsed="false">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ustomFormat="false" ht="15.75" hidden="false" customHeight="true" outlineLevel="0" collapsed="false">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ustomFormat="false" ht="15.75" hidden="false" customHeight="true" outlineLevel="0" collapsed="false">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ustomFormat="false" ht="15.75" hidden="false" customHeight="true" outlineLevel="0" collapsed="false">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ustomFormat="false" ht="15.75" hidden="false" customHeight="true" outlineLevel="0" collapsed="false">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ustomFormat="false" ht="15.75" hidden="false" customHeight="true" outlineLevel="0" collapsed="false">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ustomFormat="false" ht="15.75" hidden="false" customHeight="true" outlineLevel="0" collapsed="false">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ustomFormat="false" ht="15.75" hidden="false" customHeight="true" outlineLevel="0" collapsed="false">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ustomFormat="false" ht="15.75" hidden="false" customHeight="true" outlineLevel="0" collapsed="false">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ustomFormat="false" ht="15.75" hidden="false" customHeight="true" outlineLevel="0" collapsed="false">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ustomFormat="false" ht="15.75" hidden="false" customHeight="true" outlineLevel="0" collapsed="false">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ustomFormat="false" ht="15.75" hidden="false" customHeight="true" outlineLevel="0" collapsed="false">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ustomFormat="false" ht="15.75" hidden="false" customHeight="true" outlineLevel="0" collapsed="false">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ustomFormat="false" ht="15.75" hidden="false" customHeight="true" outlineLevel="0" collapsed="false">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ustomFormat="false" ht="15.75" hidden="false" customHeight="true" outlineLevel="0" collapsed="false">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ustomFormat="false" ht="15.75" hidden="false" customHeight="true" outlineLevel="0" collapsed="false">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ustomFormat="false" ht="15.75" hidden="false" customHeight="true" outlineLevel="0" collapsed="false">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ustomFormat="false" ht="15.75" hidden="false" customHeight="true" outlineLevel="0" collapsed="false">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ustomFormat="false" ht="15.75" hidden="false" customHeight="true" outlineLevel="0" collapsed="false">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ustomFormat="false" ht="15.75" hidden="false" customHeight="true" outlineLevel="0" collapsed="false">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ustomFormat="false" ht="15.75" hidden="false" customHeight="true" outlineLevel="0" collapsed="false">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ustomFormat="false" ht="15.75" hidden="false" customHeight="true" outlineLevel="0" collapsed="false">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ustomFormat="false" ht="15.75" hidden="false" customHeight="true" outlineLevel="0" collapsed="false">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ustomFormat="false" ht="15.75" hidden="false" customHeight="true" outlineLevel="0" collapsed="false">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ustomFormat="false" ht="15.75" hidden="false" customHeight="true" outlineLevel="0" collapsed="false">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ustomFormat="false" ht="15.75" hidden="false" customHeight="true" outlineLevel="0" collapsed="false">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ustomFormat="false" ht="15.75" hidden="false" customHeight="true" outlineLevel="0" collapsed="false">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ustomFormat="false" ht="15.75" hidden="false" customHeight="true" outlineLevel="0" collapsed="false">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ustomFormat="false" ht="15.75" hidden="false" customHeight="true" outlineLevel="0" collapsed="false">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ustomFormat="false" ht="15.75" hidden="false" customHeight="true" outlineLevel="0" collapsed="false">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ustomFormat="false" ht="15.75" hidden="false" customHeight="true" outlineLevel="0" collapsed="false">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ustomFormat="false" ht="15.75" hidden="false" customHeight="true" outlineLevel="0" collapsed="false">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ustomFormat="false" ht="15.75" hidden="false" customHeight="true" outlineLevel="0" collapsed="false">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ustomFormat="false" ht="15.75" hidden="false" customHeight="true" outlineLevel="0" collapsed="false">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ustomFormat="false" ht="15.75" hidden="false" customHeight="true" outlineLevel="0" collapsed="false">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ustomFormat="false" ht="15.75" hidden="false" customHeight="true" outlineLevel="0" collapsed="false">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ustomFormat="false" ht="15.75" hidden="false" customHeight="true" outlineLevel="0" collapsed="false">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ustomFormat="false" ht="15.75" hidden="false" customHeight="true" outlineLevel="0" collapsed="false">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ustomFormat="false" ht="15.75" hidden="false" customHeight="true" outlineLevel="0" collapsed="false">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ustomFormat="false" ht="15.75" hidden="false" customHeight="true" outlineLevel="0" collapsed="false">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ustomFormat="false" ht="15.75" hidden="false" customHeight="true" outlineLevel="0" collapsed="false">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ustomFormat="false" ht="15.75" hidden="false" customHeight="true" outlineLevel="0" collapsed="false">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ustomFormat="false" ht="15.75" hidden="false" customHeight="true" outlineLevel="0" collapsed="false">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ustomFormat="false" ht="15.75" hidden="false" customHeight="true" outlineLevel="0" collapsed="false">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ustomFormat="false" ht="15.75" hidden="false" customHeight="true" outlineLevel="0" collapsed="false">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ustomFormat="false" ht="15.75" hidden="false" customHeight="true" outlineLevel="0" collapsed="false">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ustomFormat="false" ht="15.75" hidden="false" customHeight="true" outlineLevel="0" collapsed="false">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ustomFormat="false" ht="15.75" hidden="false" customHeight="true" outlineLevel="0" collapsed="false">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ustomFormat="false" ht="15.75" hidden="false" customHeight="true" outlineLevel="0" collapsed="false">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ustomFormat="false" ht="15.75" hidden="false" customHeight="true" outlineLevel="0" collapsed="false">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ustomFormat="false" ht="15.75" hidden="false" customHeight="true" outlineLevel="0" collapsed="false">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ustomFormat="false" ht="15.75" hidden="false" customHeight="true" outlineLevel="0" collapsed="false">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ustomFormat="false" ht="15.75" hidden="false" customHeight="true" outlineLevel="0" collapsed="false">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ustomFormat="false" ht="15.75" hidden="false" customHeight="true" outlineLevel="0" collapsed="false">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ustomFormat="false" ht="15.75" hidden="false" customHeight="true" outlineLevel="0" collapsed="false">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ustomFormat="false" ht="15.75" hidden="false" customHeight="true" outlineLevel="0" collapsed="false">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ustomFormat="false" ht="15.75" hidden="false" customHeight="true" outlineLevel="0" collapsed="false">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ustomFormat="false" ht="15.75" hidden="false" customHeight="true" outlineLevel="0" collapsed="false">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ustomFormat="false" ht="15.75" hidden="false" customHeight="true" outlineLevel="0" collapsed="false">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ustomFormat="false" ht="15.75" hidden="false" customHeight="true" outlineLevel="0" collapsed="false">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ustomFormat="false" ht="15.75" hidden="false" customHeight="true" outlineLevel="0" collapsed="false">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ustomFormat="false" ht="15.75" hidden="false" customHeight="true" outlineLevel="0" collapsed="false">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ustomFormat="false" ht="15.75" hidden="false" customHeight="true" outlineLevel="0" collapsed="false">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ustomFormat="false" ht="15.75" hidden="false" customHeight="true" outlineLevel="0" collapsed="false">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ustomFormat="false" ht="15.75" hidden="false" customHeight="true" outlineLevel="0" collapsed="false">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ustomFormat="false" ht="15.75" hidden="false" customHeight="true" outlineLevel="0" collapsed="false">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ustomFormat="false" ht="15.75" hidden="false" customHeight="true" outlineLevel="0" collapsed="false">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ustomFormat="false" ht="15.75" hidden="false" customHeight="true" outlineLevel="0" collapsed="false">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ustomFormat="false" ht="15.75" hidden="false" customHeight="true" outlineLevel="0" collapsed="false">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ustomFormat="false" ht="15.75" hidden="false" customHeight="true" outlineLevel="0" collapsed="false">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ustomFormat="false" ht="15.75" hidden="false" customHeight="true" outlineLevel="0" collapsed="false">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ustomFormat="false" ht="15.75" hidden="false" customHeight="true" outlineLevel="0" collapsed="false">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ustomFormat="false" ht="15.75" hidden="false" customHeight="true" outlineLevel="0" collapsed="false">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ustomFormat="false" ht="15.75" hidden="false" customHeight="true" outlineLevel="0" collapsed="false">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ustomFormat="false" ht="15.75" hidden="false" customHeight="true" outlineLevel="0" collapsed="false">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ustomFormat="false" ht="15.75" hidden="false" customHeight="true" outlineLevel="0" collapsed="false">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ustomFormat="false" ht="15.75" hidden="false" customHeight="true" outlineLevel="0" collapsed="false">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ustomFormat="false" ht="15.75" hidden="false" customHeight="true" outlineLevel="0" collapsed="false">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ustomFormat="false" ht="15.75" hidden="false" customHeight="true" outlineLevel="0" collapsed="false">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ustomFormat="false" ht="15.75" hidden="false" customHeight="true" outlineLevel="0" collapsed="false">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ustomFormat="false" ht="15.75" hidden="false" customHeight="true" outlineLevel="0" collapsed="false">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ustomFormat="false" ht="15.75" hidden="false" customHeight="true" outlineLevel="0" collapsed="false">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ustomFormat="false" ht="15.75" hidden="false" customHeight="true" outlineLevel="0" collapsed="false">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ustomFormat="false" ht="15.75" hidden="false" customHeight="true" outlineLevel="0" collapsed="false">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ustomFormat="false" ht="15.75" hidden="false" customHeight="true" outlineLevel="0" collapsed="false">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ustomFormat="false" ht="15.75" hidden="false" customHeight="true" outlineLevel="0" collapsed="false">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ustomFormat="false" ht="15.75" hidden="false" customHeight="true" outlineLevel="0" collapsed="false">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ustomFormat="false" ht="15.75" hidden="false" customHeight="true" outlineLevel="0" collapsed="false">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ustomFormat="false" ht="15.75" hidden="false" customHeight="true" outlineLevel="0" collapsed="false">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ustomFormat="false" ht="15.75" hidden="false" customHeight="true" outlineLevel="0" collapsed="false">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ustomFormat="false" ht="15.75" hidden="false" customHeight="true" outlineLevel="0" collapsed="false">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ustomFormat="false" ht="15.75" hidden="false" customHeight="true" outlineLevel="0" collapsed="false">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ustomFormat="false" ht="15.75" hidden="false" customHeight="true" outlineLevel="0" collapsed="false">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ustomFormat="false" ht="15.75" hidden="false" customHeight="true" outlineLevel="0" collapsed="false">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ustomFormat="false" ht="15.75" hidden="false" customHeight="true" outlineLevel="0" collapsed="false">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ustomFormat="false" ht="15.75" hidden="false" customHeight="true" outlineLevel="0" collapsed="false">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ustomFormat="false" ht="15.75" hidden="false" customHeight="true" outlineLevel="0" collapsed="false">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ustomFormat="false" ht="15.75" hidden="false" customHeight="true" outlineLevel="0" collapsed="false">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ustomFormat="false" ht="15.75" hidden="false" customHeight="true" outlineLevel="0" collapsed="false">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ustomFormat="false" ht="15.75" hidden="false" customHeight="true" outlineLevel="0" collapsed="false">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ustomFormat="false" ht="15.75" hidden="false" customHeight="true" outlineLevel="0" collapsed="false">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ustomFormat="false" ht="15.75" hidden="false" customHeight="true" outlineLevel="0" collapsed="false">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ustomFormat="false" ht="15.75" hidden="false" customHeight="true" outlineLevel="0" collapsed="false">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ustomFormat="false" ht="15.75" hidden="false" customHeight="true" outlineLevel="0" collapsed="false">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ustomFormat="false" ht="15.75" hidden="false" customHeight="true" outlineLevel="0" collapsed="false">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ustomFormat="false" ht="15.75" hidden="false" customHeight="true" outlineLevel="0" collapsed="false">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ustomFormat="false" ht="15.75" hidden="false" customHeight="true" outlineLevel="0" collapsed="false">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ustomFormat="false" ht="15.75" hidden="false" customHeight="true" outlineLevel="0" collapsed="false">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ustomFormat="false" ht="15.75" hidden="false" customHeight="true" outlineLevel="0" collapsed="false">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ustomFormat="false" ht="15.75" hidden="false" customHeight="true" outlineLevel="0" collapsed="false">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ustomFormat="false" ht="15.75" hidden="false" customHeight="true" outlineLevel="0" collapsed="false">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ustomFormat="false" ht="15.75" hidden="false" customHeight="true" outlineLevel="0" collapsed="false">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ustomFormat="false" ht="15.75" hidden="false" customHeight="true" outlineLevel="0" collapsed="false">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ustomFormat="false" ht="15.75" hidden="false" customHeight="true" outlineLevel="0" collapsed="false">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ustomFormat="false" ht="15.75" hidden="false" customHeight="true" outlineLevel="0" collapsed="false">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ustomFormat="false" ht="15.75" hidden="false" customHeight="true" outlineLevel="0" collapsed="false">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ustomFormat="false" ht="15.75" hidden="false" customHeight="true" outlineLevel="0" collapsed="false">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ustomFormat="false" ht="15.75" hidden="false" customHeight="true" outlineLevel="0" collapsed="false">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ustomFormat="false" ht="15.75" hidden="false" customHeight="true" outlineLevel="0" collapsed="false">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ustomFormat="false" ht="15.75" hidden="false" customHeight="true" outlineLevel="0" collapsed="false">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ustomFormat="false" ht="15.75" hidden="false" customHeight="true" outlineLevel="0" collapsed="false">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ustomFormat="false" ht="15.75" hidden="false" customHeight="true" outlineLevel="0" collapsed="false">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ustomFormat="false" ht="15.75" hidden="false" customHeight="true" outlineLevel="0" collapsed="false">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ustomFormat="false" ht="15.75" hidden="false" customHeight="true" outlineLevel="0" collapsed="false">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ustomFormat="false" ht="15.75" hidden="false" customHeight="true" outlineLevel="0" collapsed="false">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ustomFormat="false" ht="15.75" hidden="false" customHeight="true" outlineLevel="0" collapsed="false">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ustomFormat="false" ht="15.75" hidden="false" customHeight="true" outlineLevel="0" collapsed="false">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ustomFormat="false" ht="15.75" hidden="false" customHeight="true" outlineLevel="0" collapsed="false">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ustomFormat="false" ht="15.75" hidden="false" customHeight="true" outlineLevel="0" collapsed="false">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ustomFormat="false" ht="15.75" hidden="false" customHeight="true" outlineLevel="0" collapsed="false">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ustomFormat="false" ht="15.75" hidden="false" customHeight="true" outlineLevel="0" collapsed="false">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ustomFormat="false" ht="15.75" hidden="false" customHeight="true" outlineLevel="0" collapsed="false">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ustomFormat="false" ht="15.75" hidden="false" customHeight="true" outlineLevel="0" collapsed="false">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ustomFormat="false" ht="15.75" hidden="false" customHeight="true" outlineLevel="0" collapsed="false">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ustomFormat="false" ht="15.75" hidden="false" customHeight="true" outlineLevel="0" collapsed="false">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ustomFormat="false" ht="15.75" hidden="false" customHeight="true" outlineLevel="0" collapsed="false">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ustomFormat="false" ht="15.75" hidden="false" customHeight="true" outlineLevel="0" collapsed="false">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ustomFormat="false" ht="15.75" hidden="false" customHeight="true" outlineLevel="0" collapsed="false">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ustomFormat="false" ht="15.75" hidden="false" customHeight="true" outlineLevel="0" collapsed="false">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ustomFormat="false" ht="15.75" hidden="false" customHeight="true" outlineLevel="0" collapsed="false">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ustomFormat="false" ht="15.75" hidden="false" customHeight="true" outlineLevel="0" collapsed="false">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ustomFormat="false" ht="15.75" hidden="false" customHeight="true" outlineLevel="0" collapsed="false">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ustomFormat="false" ht="15.75" hidden="false" customHeight="true" outlineLevel="0" collapsed="false">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ustomFormat="false" ht="15.75" hidden="false" customHeight="true" outlineLevel="0" collapsed="false">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ustomFormat="false" ht="15.75" hidden="false" customHeight="true" outlineLevel="0" collapsed="false">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ustomFormat="false" ht="15.75" hidden="false" customHeight="true" outlineLevel="0" collapsed="false">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ustomFormat="false" ht="15.75" hidden="false" customHeight="true" outlineLevel="0" collapsed="false">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ustomFormat="false" ht="15.75" hidden="false" customHeight="true" outlineLevel="0" collapsed="false">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ustomFormat="false" ht="15.75" hidden="false" customHeight="true" outlineLevel="0" collapsed="false">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ustomFormat="false" ht="15.75" hidden="false" customHeight="true" outlineLevel="0" collapsed="false">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ustomFormat="false" ht="15.75" hidden="false" customHeight="true" outlineLevel="0" collapsed="false">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ustomFormat="false" ht="15.75" hidden="false" customHeight="true" outlineLevel="0" collapsed="false">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ustomFormat="false" ht="15.75" hidden="false" customHeight="true" outlineLevel="0" collapsed="false">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ustomFormat="false" ht="15.75" hidden="false" customHeight="true" outlineLevel="0" collapsed="false">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ustomFormat="false" ht="15.75" hidden="false" customHeight="true" outlineLevel="0" collapsed="false">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ustomFormat="false" ht="15.75" hidden="false" customHeight="true" outlineLevel="0" collapsed="false">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ustomFormat="false" ht="15.75" hidden="false" customHeight="true" outlineLevel="0" collapsed="false">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ustomFormat="false" ht="15.75" hidden="false" customHeight="true" outlineLevel="0" collapsed="false">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ustomFormat="false" ht="15.75" hidden="false" customHeight="true" outlineLevel="0" collapsed="false">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ustomFormat="false" ht="15.75" hidden="false" customHeight="true" outlineLevel="0" collapsed="false">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ustomFormat="false" ht="15.75" hidden="false" customHeight="true" outlineLevel="0" collapsed="false">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ustomFormat="false" ht="15.75" hidden="false" customHeight="true" outlineLevel="0" collapsed="false">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ustomFormat="false" ht="15.75" hidden="false" customHeight="true" outlineLevel="0" collapsed="false">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ustomFormat="false" ht="15.75" hidden="false" customHeight="true" outlineLevel="0" collapsed="false">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ustomFormat="false" ht="15.75" hidden="false" customHeight="true" outlineLevel="0" collapsed="false">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ustomFormat="false" ht="15.75" hidden="false" customHeight="true" outlineLevel="0" collapsed="false">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ustomFormat="false" ht="15.75" hidden="false" customHeight="true" outlineLevel="0" collapsed="false">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ustomFormat="false" ht="15.75" hidden="false" customHeight="true" outlineLevel="0" collapsed="false">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ustomFormat="false" ht="15.75" hidden="false" customHeight="true" outlineLevel="0" collapsed="false">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ustomFormat="false" ht="15.75" hidden="false" customHeight="true" outlineLevel="0" collapsed="false">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ustomFormat="false" ht="15.75" hidden="false" customHeight="true" outlineLevel="0" collapsed="false">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ustomFormat="false" ht="15.75" hidden="false" customHeight="true" outlineLevel="0" collapsed="false">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ustomFormat="false" ht="15.75" hidden="false" customHeight="true" outlineLevel="0" collapsed="false">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ustomFormat="false" ht="15.75" hidden="false" customHeight="true" outlineLevel="0" collapsed="false">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ustomFormat="false" ht="15.75" hidden="false" customHeight="true" outlineLevel="0" collapsed="false">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ustomFormat="false" ht="15.75" hidden="false" customHeight="true" outlineLevel="0" collapsed="false">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ustomFormat="false" ht="15.75" hidden="false" customHeight="true" outlineLevel="0" collapsed="false">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ustomFormat="false" ht="15.75" hidden="false" customHeight="true" outlineLevel="0" collapsed="false">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ustomFormat="false" ht="15.75" hidden="false" customHeight="true" outlineLevel="0" collapsed="false">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ustomFormat="false" ht="15.75" hidden="false" customHeight="true" outlineLevel="0" collapsed="false">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ustomFormat="false" ht="15.75" hidden="false" customHeight="true" outlineLevel="0" collapsed="false">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ustomFormat="false" ht="15.75" hidden="false" customHeight="true" outlineLevel="0" collapsed="false">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ustomFormat="false" ht="15.75" hidden="false" customHeight="true" outlineLevel="0" collapsed="false">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ustomFormat="false" ht="15.75" hidden="false" customHeight="true" outlineLevel="0" collapsed="false">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ustomFormat="false" ht="15.75" hidden="false" customHeight="true" outlineLevel="0" collapsed="false">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ustomFormat="false" ht="15.75" hidden="false" customHeight="true" outlineLevel="0" collapsed="false">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ustomFormat="false" ht="15.75" hidden="false" customHeight="true" outlineLevel="0" collapsed="false">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ustomFormat="false" ht="15.75" hidden="false" customHeight="true" outlineLevel="0" collapsed="false">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ustomFormat="false" ht="15.75" hidden="false" customHeight="true" outlineLevel="0" collapsed="false">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ustomFormat="false" ht="15.75" hidden="false" customHeight="true" outlineLevel="0" collapsed="false">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ustomFormat="false" ht="15.75" hidden="false" customHeight="true" outlineLevel="0" collapsed="false">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ustomFormat="false" ht="15.75" hidden="false" customHeight="true" outlineLevel="0" collapsed="false">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ustomFormat="false" ht="15.75" hidden="false" customHeight="true" outlineLevel="0" collapsed="false">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ustomFormat="false" ht="15.75" hidden="false" customHeight="true" outlineLevel="0" collapsed="false">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ustomFormat="false" ht="15.75" hidden="false" customHeight="true" outlineLevel="0" collapsed="false">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ustomFormat="false" ht="15.75" hidden="false" customHeight="true" outlineLevel="0" collapsed="false">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ustomFormat="false" ht="15.75" hidden="false" customHeight="true" outlineLevel="0" collapsed="false">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ustomFormat="false" ht="15.75" hidden="false" customHeight="true" outlineLevel="0" collapsed="false">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ustomFormat="false" ht="15.75" hidden="false" customHeight="true" outlineLevel="0" collapsed="false">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ustomFormat="false" ht="15.75" hidden="false" customHeight="true" outlineLevel="0" collapsed="false">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ustomFormat="false" ht="15.75" hidden="false" customHeight="true" outlineLevel="0" collapsed="false">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ustomFormat="false" ht="15.75" hidden="false" customHeight="true" outlineLevel="0" collapsed="false">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ustomFormat="false" ht="15.75" hidden="false" customHeight="true" outlineLevel="0" collapsed="false">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ustomFormat="false" ht="15.75" hidden="false" customHeight="true" outlineLevel="0" collapsed="false">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ustomFormat="false" ht="15.75" hidden="false" customHeight="true" outlineLevel="0" collapsed="false">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ustomFormat="false" ht="15.75" hidden="false" customHeight="true" outlineLevel="0" collapsed="false">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ustomFormat="false" ht="15.75" hidden="false" customHeight="true" outlineLevel="0" collapsed="false">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ustomFormat="false" ht="15.75" hidden="false" customHeight="true" outlineLevel="0" collapsed="false">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ustomFormat="false" ht="15.75" hidden="false" customHeight="true" outlineLevel="0" collapsed="false">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ustomFormat="false" ht="15.75" hidden="false" customHeight="true" outlineLevel="0" collapsed="false">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ustomFormat="false" ht="15.75" hidden="false" customHeight="true" outlineLevel="0" collapsed="false">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ustomFormat="false" ht="15.75" hidden="false" customHeight="true" outlineLevel="0" collapsed="false">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ustomFormat="false" ht="15.75" hidden="false" customHeight="true" outlineLevel="0" collapsed="false">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ustomFormat="false" ht="15.75" hidden="false" customHeight="true" outlineLevel="0" collapsed="false">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ustomFormat="false" ht="15.75" hidden="false" customHeight="true" outlineLevel="0" collapsed="false">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ustomFormat="false" ht="15.75" hidden="false" customHeight="true" outlineLevel="0" collapsed="false">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ustomFormat="false" ht="15.75" hidden="false" customHeight="true" outlineLevel="0" collapsed="false">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ustomFormat="false" ht="15.75" hidden="false" customHeight="true" outlineLevel="0" collapsed="false">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ustomFormat="false" ht="15.75" hidden="false" customHeight="true" outlineLevel="0" collapsed="false">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ustomFormat="false" ht="15.75" hidden="false" customHeight="true" outlineLevel="0" collapsed="false">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ustomFormat="false" ht="15.75" hidden="false" customHeight="true" outlineLevel="0" collapsed="false">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ustomFormat="false" ht="15.75" hidden="false" customHeight="true" outlineLevel="0" collapsed="false">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ustomFormat="false" ht="15.75" hidden="false" customHeight="true" outlineLevel="0" collapsed="false">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ustomFormat="false" ht="15.75" hidden="false" customHeight="true" outlineLevel="0" collapsed="false">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ustomFormat="false" ht="15.75" hidden="false" customHeight="true" outlineLevel="0" collapsed="false">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ustomFormat="false" ht="15.75" hidden="false" customHeight="true" outlineLevel="0" collapsed="false">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ustomFormat="false" ht="15.75" hidden="false" customHeight="true" outlineLevel="0" collapsed="false">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ustomFormat="false" ht="15.75" hidden="false" customHeight="true" outlineLevel="0" collapsed="false">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ustomFormat="false" ht="15.75" hidden="false" customHeight="true" outlineLevel="0" collapsed="false">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ustomFormat="false" ht="15.75" hidden="false" customHeight="true" outlineLevel="0" collapsed="false">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ustomFormat="false" ht="15.75" hidden="false" customHeight="true" outlineLevel="0" collapsed="false">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ustomFormat="false" ht="15.75" hidden="false" customHeight="true" outlineLevel="0" collapsed="false">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ustomFormat="false" ht="15.75" hidden="false" customHeight="true" outlineLevel="0" collapsed="false">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ustomFormat="false" ht="15.75" hidden="false" customHeight="true" outlineLevel="0" collapsed="false">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ustomFormat="false" ht="15.75" hidden="false" customHeight="true" outlineLevel="0" collapsed="false">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ustomFormat="false" ht="15.75" hidden="false" customHeight="true" outlineLevel="0" collapsed="false">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ustomFormat="false" ht="15.75" hidden="false" customHeight="true" outlineLevel="0" collapsed="false">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ustomFormat="false" ht="15.75" hidden="false" customHeight="true" outlineLevel="0" collapsed="false">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ustomFormat="false" ht="15.75" hidden="false" customHeight="true" outlineLevel="0" collapsed="false">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ustomFormat="false" ht="15.75" hidden="false" customHeight="true" outlineLevel="0" collapsed="false">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ustomFormat="false" ht="15.75" hidden="false" customHeight="true" outlineLevel="0" collapsed="false">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ustomFormat="false" ht="15.75" hidden="false" customHeight="true" outlineLevel="0" collapsed="false">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ustomFormat="false" ht="15.75" hidden="false" customHeight="true" outlineLevel="0" collapsed="false">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ustomFormat="false" ht="15.75" hidden="false" customHeight="true" outlineLevel="0" collapsed="false">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ustomFormat="false" ht="15.75" hidden="false" customHeight="true" outlineLevel="0" collapsed="false">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ustomFormat="false" ht="15.75" hidden="false" customHeight="true" outlineLevel="0" collapsed="false">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ustomFormat="false" ht="15.75" hidden="false" customHeight="true" outlineLevel="0" collapsed="false">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ustomFormat="false" ht="15.75" hidden="false" customHeight="true" outlineLevel="0" collapsed="false">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ustomFormat="false" ht="15.75" hidden="false" customHeight="true" outlineLevel="0" collapsed="false">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ustomFormat="false" ht="15.75" hidden="false" customHeight="true" outlineLevel="0" collapsed="false">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ustomFormat="false" ht="15.75" hidden="false" customHeight="true" outlineLevel="0" collapsed="false">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ustomFormat="false" ht="15.75" hidden="false" customHeight="true" outlineLevel="0" collapsed="false">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ustomFormat="false" ht="15.75" hidden="false" customHeight="true" outlineLevel="0" collapsed="false">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ustomFormat="false" ht="15.75" hidden="false" customHeight="true" outlineLevel="0" collapsed="false">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ustomFormat="false" ht="15.75" hidden="false" customHeight="true" outlineLevel="0" collapsed="false">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ustomFormat="false" ht="15.75" hidden="false" customHeight="true" outlineLevel="0" collapsed="false">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ustomFormat="false" ht="15.75" hidden="false" customHeight="true" outlineLevel="0" collapsed="false">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ustomFormat="false" ht="15.75" hidden="false" customHeight="true" outlineLevel="0" collapsed="false">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ustomFormat="false" ht="15.75" hidden="false" customHeight="true" outlineLevel="0" collapsed="false">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ustomFormat="false" ht="15.75" hidden="false" customHeight="true" outlineLevel="0" collapsed="false">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ustomFormat="false" ht="15.75" hidden="false" customHeight="true" outlineLevel="0" collapsed="false">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ustomFormat="false" ht="15.75" hidden="false" customHeight="true" outlineLevel="0" collapsed="false">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ustomFormat="false" ht="15.75" hidden="false" customHeight="true" outlineLevel="0" collapsed="false">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ustomFormat="false" ht="15.75" hidden="false" customHeight="true" outlineLevel="0" collapsed="false">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ustomFormat="false" ht="15.75" hidden="false" customHeight="true" outlineLevel="0" collapsed="false">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ustomFormat="false" ht="15.75" hidden="false" customHeight="true" outlineLevel="0" collapsed="false">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ustomFormat="false" ht="15.75" hidden="false" customHeight="true" outlineLevel="0" collapsed="false">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ustomFormat="false" ht="15.75" hidden="false" customHeight="true" outlineLevel="0" collapsed="false">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ustomFormat="false" ht="15.75" hidden="false" customHeight="true" outlineLevel="0" collapsed="false">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ustomFormat="false" ht="15.75" hidden="false" customHeight="true" outlineLevel="0" collapsed="false">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ustomFormat="false" ht="15.75" hidden="false" customHeight="true" outlineLevel="0" collapsed="false">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ustomFormat="false" ht="15.75" hidden="false" customHeight="true" outlineLevel="0" collapsed="false">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ustomFormat="false" ht="15.75" hidden="false" customHeight="true" outlineLevel="0" collapsed="false">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ustomFormat="false" ht="15.75" hidden="false" customHeight="true" outlineLevel="0" collapsed="false">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ustomFormat="false" ht="15.75" hidden="false" customHeight="true" outlineLevel="0" collapsed="false">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ustomFormat="false" ht="15.75" hidden="false" customHeight="true" outlineLevel="0" collapsed="false">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ustomFormat="false" ht="15.75" hidden="false" customHeight="true" outlineLevel="0" collapsed="false">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ustomFormat="false" ht="15.75" hidden="false" customHeight="true" outlineLevel="0" collapsed="false">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ustomFormat="false" ht="15.75" hidden="false" customHeight="true" outlineLevel="0" collapsed="false">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ustomFormat="false" ht="15.75" hidden="false" customHeight="true" outlineLevel="0" collapsed="false">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ustomFormat="false" ht="15.75" hidden="false" customHeight="true" outlineLevel="0" collapsed="false">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ustomFormat="false" ht="15.75" hidden="false" customHeight="true" outlineLevel="0" collapsed="false">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ustomFormat="false" ht="15.75" hidden="false" customHeight="true" outlineLevel="0" collapsed="false">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ustomFormat="false" ht="15.75" hidden="false" customHeight="true" outlineLevel="0" collapsed="false">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ustomFormat="false" ht="15.75" hidden="false" customHeight="true" outlineLevel="0" collapsed="false">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ustomFormat="false" ht="15.75" hidden="false" customHeight="true" outlineLevel="0" collapsed="false">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ustomFormat="false" ht="15.75" hidden="false" customHeight="true" outlineLevel="0" collapsed="false">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ustomFormat="false" ht="15.75" hidden="false" customHeight="true" outlineLevel="0" collapsed="false">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ustomFormat="false" ht="15.75" hidden="false" customHeight="true" outlineLevel="0" collapsed="false">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ustomFormat="false" ht="15.75" hidden="false" customHeight="true" outlineLevel="0" collapsed="false">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ustomFormat="false" ht="15.75" hidden="false" customHeight="true" outlineLevel="0" collapsed="false">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ustomFormat="false" ht="15.75" hidden="false" customHeight="true" outlineLevel="0" collapsed="false">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ustomFormat="false" ht="15.75" hidden="false" customHeight="true" outlineLevel="0" collapsed="false">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ustomFormat="false" ht="15.75" hidden="false" customHeight="true" outlineLevel="0" collapsed="false">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ustomFormat="false" ht="15.75" hidden="false" customHeight="true" outlineLevel="0" collapsed="false">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ustomFormat="false" ht="15.75" hidden="false" customHeight="true" outlineLevel="0" collapsed="false">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ustomFormat="false" ht="15.75" hidden="false" customHeight="true" outlineLevel="0" collapsed="false">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ustomFormat="false" ht="15.75" hidden="false" customHeight="true" outlineLevel="0" collapsed="false">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ustomFormat="false" ht="15.75" hidden="false" customHeight="true" outlineLevel="0" collapsed="false">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ustomFormat="false" ht="15.75" hidden="false" customHeight="true" outlineLevel="0" collapsed="false">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ustomFormat="false" ht="15.75" hidden="false" customHeight="true" outlineLevel="0" collapsed="false">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ustomFormat="false" ht="15.75" hidden="false" customHeight="true" outlineLevel="0" collapsed="false">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ustomFormat="false" ht="15.75" hidden="false" customHeight="true" outlineLevel="0" collapsed="false">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ustomFormat="false" ht="15.75" hidden="false" customHeight="true" outlineLevel="0" collapsed="false">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ustomFormat="false" ht="15.75" hidden="false" customHeight="true" outlineLevel="0" collapsed="false">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ustomFormat="false" ht="15.75" hidden="false" customHeight="true" outlineLevel="0" collapsed="false">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ustomFormat="false" ht="15.75" hidden="false" customHeight="true" outlineLevel="0" collapsed="false">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ustomFormat="false" ht="15.75" hidden="false" customHeight="true" outlineLevel="0" collapsed="false">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ustomFormat="false" ht="15.75" hidden="false" customHeight="true" outlineLevel="0" collapsed="false">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ustomFormat="false" ht="15.75" hidden="false" customHeight="true" outlineLevel="0" collapsed="false">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ustomFormat="false" ht="15.75" hidden="false" customHeight="true" outlineLevel="0" collapsed="false">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ustomFormat="false" ht="15.75" hidden="false" customHeight="true" outlineLevel="0" collapsed="false">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ustomFormat="false" ht="15.75" hidden="false" customHeight="true" outlineLevel="0" collapsed="false">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ustomFormat="false" ht="15.75" hidden="false" customHeight="true" outlineLevel="0" collapsed="false">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ustomFormat="false" ht="15.75" hidden="false" customHeight="true" outlineLevel="0" collapsed="false">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ustomFormat="false" ht="15.75" hidden="false" customHeight="true" outlineLevel="0" collapsed="false">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ustomFormat="false" ht="15.75" hidden="false" customHeight="true" outlineLevel="0" collapsed="false">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ustomFormat="false" ht="15.75" hidden="false" customHeight="true" outlineLevel="0" collapsed="false">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ustomFormat="false" ht="15.75" hidden="false" customHeight="true" outlineLevel="0" collapsed="false">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ustomFormat="false" ht="15.75" hidden="false" customHeight="true" outlineLevel="0" collapsed="false">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ustomFormat="false" ht="15.75" hidden="false" customHeight="true" outlineLevel="0" collapsed="false">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ustomFormat="false" ht="15.75" hidden="false" customHeight="true" outlineLevel="0" collapsed="false">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ustomFormat="false" ht="15.75" hidden="false" customHeight="true" outlineLevel="0" collapsed="false">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ustomFormat="false" ht="15.75" hidden="false" customHeight="true" outlineLevel="0" collapsed="false">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ustomFormat="false" ht="15.75" hidden="false" customHeight="true" outlineLevel="0" collapsed="false">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ustomFormat="false" ht="15.75" hidden="false" customHeight="true" outlineLevel="0" collapsed="false">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ustomFormat="false" ht="15.75" hidden="false" customHeight="true" outlineLevel="0" collapsed="false">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ustomFormat="false" ht="15.75" hidden="false" customHeight="true" outlineLevel="0" collapsed="false">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ustomFormat="false" ht="15.75" hidden="false" customHeight="true" outlineLevel="0" collapsed="false">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ustomFormat="false" ht="15.75" hidden="false" customHeight="true" outlineLevel="0" collapsed="false">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ustomFormat="false" ht="15.75" hidden="false" customHeight="true" outlineLevel="0" collapsed="false">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ustomFormat="false" ht="15.75" hidden="false" customHeight="true" outlineLevel="0" collapsed="false">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ustomFormat="false" ht="15.75" hidden="false" customHeight="true" outlineLevel="0" collapsed="false">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ustomFormat="false" ht="15.75" hidden="false" customHeight="true" outlineLevel="0" collapsed="false">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ustomFormat="false" ht="15.75" hidden="false" customHeight="true" outlineLevel="0" collapsed="false">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ustomFormat="false" ht="15.75" hidden="false" customHeight="true" outlineLevel="0" collapsed="false">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ustomFormat="false" ht="15.75" hidden="false" customHeight="true" outlineLevel="0" collapsed="false">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ustomFormat="false" ht="15.75" hidden="false" customHeight="true" outlineLevel="0" collapsed="false">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ustomFormat="false" ht="15.75" hidden="false" customHeight="true" outlineLevel="0" collapsed="false">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ustomFormat="false" ht="15.75" hidden="false" customHeight="true" outlineLevel="0" collapsed="false">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ustomFormat="false" ht="15.75" hidden="false" customHeight="true" outlineLevel="0" collapsed="false">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ustomFormat="false" ht="15.75" hidden="false" customHeight="true" outlineLevel="0" collapsed="false">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ustomFormat="false" ht="15.75" hidden="false" customHeight="true" outlineLevel="0" collapsed="false">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ustomFormat="false" ht="15.75" hidden="false" customHeight="true" outlineLevel="0" collapsed="false">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ustomFormat="false" ht="15.75" hidden="false" customHeight="true" outlineLevel="0" collapsed="false">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ustomFormat="false" ht="15.75" hidden="false" customHeight="true" outlineLevel="0" collapsed="false">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ustomFormat="false" ht="15.75" hidden="false" customHeight="true" outlineLevel="0" collapsed="false">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ustomFormat="false" ht="15.75" hidden="false" customHeight="true" outlineLevel="0" collapsed="false">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ustomFormat="false" ht="15.75" hidden="false" customHeight="true" outlineLevel="0" collapsed="false">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ustomFormat="false" ht="15.75" hidden="false" customHeight="true" outlineLevel="0" collapsed="false">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ustomFormat="false" ht="15.75" hidden="false" customHeight="true" outlineLevel="0" collapsed="false">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ustomFormat="false" ht="15.75" hidden="false" customHeight="true" outlineLevel="0" collapsed="false">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ustomFormat="false" ht="15.75" hidden="false" customHeight="true" outlineLevel="0" collapsed="false">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ustomFormat="false" ht="15.75" hidden="false" customHeight="true" outlineLevel="0" collapsed="false">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ustomFormat="false" ht="15.75" hidden="false" customHeight="true" outlineLevel="0" collapsed="false">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ustomFormat="false" ht="15.75" hidden="false" customHeight="true" outlineLevel="0" collapsed="false">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ustomFormat="false" ht="15.75" hidden="false" customHeight="true" outlineLevel="0" collapsed="false">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ustomFormat="false" ht="15.75" hidden="false" customHeight="true" outlineLevel="0" collapsed="false">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ustomFormat="false" ht="15.75" hidden="false" customHeight="true" outlineLevel="0" collapsed="false">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ustomFormat="false" ht="15.75" hidden="false" customHeight="true" outlineLevel="0" collapsed="false">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ustomFormat="false" ht="15.75" hidden="false" customHeight="true" outlineLevel="0" collapsed="false">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ustomFormat="false" ht="15.75" hidden="false" customHeight="true" outlineLevel="0" collapsed="false">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ustomFormat="false" ht="15.75" hidden="false" customHeight="true" outlineLevel="0" collapsed="false">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ustomFormat="false" ht="15.75" hidden="false" customHeight="true" outlineLevel="0" collapsed="false">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ustomFormat="false" ht="15.75" hidden="false" customHeight="true" outlineLevel="0" collapsed="false">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ustomFormat="false" ht="15.75" hidden="false" customHeight="true" outlineLevel="0" collapsed="false">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ustomFormat="false" ht="15.75" hidden="false" customHeight="true" outlineLevel="0" collapsed="false">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ustomFormat="false" ht="15.75" hidden="false" customHeight="true" outlineLevel="0" collapsed="false">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ustomFormat="false" ht="15.75" hidden="false" customHeight="true" outlineLevel="0" collapsed="false">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ustomFormat="false" ht="15.75" hidden="false" customHeight="true" outlineLevel="0" collapsed="false">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ustomFormat="false" ht="15.75" hidden="false" customHeight="true" outlineLevel="0" collapsed="false">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ustomFormat="false" ht="15.75" hidden="false" customHeight="true" outlineLevel="0" collapsed="false">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ustomFormat="false" ht="15.75" hidden="false" customHeight="true" outlineLevel="0" collapsed="false">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ustomFormat="false" ht="15.75" hidden="false" customHeight="true" outlineLevel="0" collapsed="false">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ustomFormat="false" ht="15.75" hidden="false" customHeight="true" outlineLevel="0" collapsed="false">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ustomFormat="false" ht="15.75" hidden="false" customHeight="true" outlineLevel="0" collapsed="false">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ustomFormat="false" ht="15.75" hidden="false" customHeight="true" outlineLevel="0" collapsed="false">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ustomFormat="false" ht="15.75" hidden="false" customHeight="true" outlineLevel="0" collapsed="false">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ustomFormat="false" ht="15.75" hidden="false" customHeight="true" outlineLevel="0" collapsed="false">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ustomFormat="false" ht="15.75" hidden="false" customHeight="true" outlineLevel="0" collapsed="false">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ustomFormat="false" ht="15.75" hidden="false" customHeight="true" outlineLevel="0" collapsed="false">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ustomFormat="false" ht="15.75" hidden="false" customHeight="true" outlineLevel="0" collapsed="false">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ustomFormat="false" ht="15.75" hidden="false" customHeight="true" outlineLevel="0" collapsed="false">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ustomFormat="false" ht="15.75" hidden="false" customHeight="true" outlineLevel="0" collapsed="false">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ustomFormat="false" ht="15.75" hidden="false" customHeight="true" outlineLevel="0" collapsed="false">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ustomFormat="false" ht="15.75" hidden="false" customHeight="true" outlineLevel="0" collapsed="false">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ustomFormat="false" ht="15.75" hidden="false" customHeight="true" outlineLevel="0" collapsed="false">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ustomFormat="false" ht="15.75" hidden="false" customHeight="true" outlineLevel="0" collapsed="false">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ustomFormat="false" ht="15.75" hidden="false" customHeight="true" outlineLevel="0" collapsed="false">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ustomFormat="false" ht="15.75" hidden="false" customHeight="true" outlineLevel="0" collapsed="false">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ustomFormat="false" ht="15.75" hidden="false" customHeight="true" outlineLevel="0" collapsed="false">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ustomFormat="false" ht="15.75" hidden="false" customHeight="true" outlineLevel="0" collapsed="false">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ustomFormat="false" ht="15.75" hidden="false" customHeight="true" outlineLevel="0" collapsed="false">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ustomFormat="false" ht="15.75" hidden="false" customHeight="true" outlineLevel="0" collapsed="false">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ustomFormat="false" ht="15.75" hidden="false" customHeight="true" outlineLevel="0" collapsed="false">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ustomFormat="false" ht="15.75" hidden="false" customHeight="true" outlineLevel="0" collapsed="false">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ustomFormat="false" ht="15.75" hidden="false" customHeight="true" outlineLevel="0" collapsed="false">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ustomFormat="false" ht="15.75" hidden="false" customHeight="true" outlineLevel="0" collapsed="false">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ustomFormat="false" ht="15.75" hidden="false" customHeight="true" outlineLevel="0" collapsed="false">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ustomFormat="false" ht="15.75" hidden="false" customHeight="true" outlineLevel="0" collapsed="false">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ustomFormat="false" ht="15.75" hidden="false" customHeight="true" outlineLevel="0" collapsed="false">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ustomFormat="false" ht="15.75" hidden="false" customHeight="true" outlineLevel="0" collapsed="false">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ustomFormat="false" ht="15.75" hidden="false" customHeight="true" outlineLevel="0" collapsed="false">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ustomFormat="false" ht="15.75" hidden="false" customHeight="true" outlineLevel="0" collapsed="false">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ustomFormat="false" ht="15.75" hidden="false" customHeight="true" outlineLevel="0" collapsed="false">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ustomFormat="false" ht="15.75" hidden="false" customHeight="true" outlineLevel="0" collapsed="false">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ustomFormat="false" ht="15.75" hidden="false" customHeight="true" outlineLevel="0" collapsed="false">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ustomFormat="false" ht="15.75" hidden="false" customHeight="true" outlineLevel="0" collapsed="false">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ustomFormat="false" ht="15.75" hidden="false" customHeight="true" outlineLevel="0" collapsed="false">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ustomFormat="false" ht="15.75" hidden="false" customHeight="true" outlineLevel="0" collapsed="false">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ustomFormat="false" ht="15.75" hidden="false" customHeight="true" outlineLevel="0" collapsed="false">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ustomFormat="false" ht="15.75" hidden="false" customHeight="true" outlineLevel="0" collapsed="false">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ustomFormat="false" ht="15.75" hidden="false" customHeight="true" outlineLevel="0" collapsed="false">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ustomFormat="false" ht="15.75" hidden="false" customHeight="true" outlineLevel="0" collapsed="false">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ustomFormat="false" ht="15.75" hidden="false" customHeight="true" outlineLevel="0" collapsed="false">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ustomFormat="false" ht="15.75" hidden="false" customHeight="true" outlineLevel="0" collapsed="false">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ustomFormat="false" ht="15.75" hidden="false" customHeight="true" outlineLevel="0" collapsed="false">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ustomFormat="false" ht="15.75" hidden="false" customHeight="true" outlineLevel="0" collapsed="false">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ustomFormat="false" ht="15.75" hidden="false" customHeight="true" outlineLevel="0" collapsed="false">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ustomFormat="false" ht="15.75" hidden="false" customHeight="true" outlineLevel="0" collapsed="false">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A1:C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B4" activeCellId="0" sqref="B4"/>
    </sheetView>
  </sheetViews>
  <sheetFormatPr defaultColWidth="14.43359375" defaultRowHeight="15" zeroHeight="false" outlineLevelRow="0" outlineLevelCol="0"/>
  <cols>
    <col collapsed="false" customWidth="true" hidden="false" outlineLevel="0" max="1" min="1" style="1" width="5"/>
    <col collapsed="false" customWidth="true" hidden="false" outlineLevel="0" max="2" min="2" style="1" width="8"/>
    <col collapsed="false" customWidth="true" hidden="false" outlineLevel="0" max="3" min="3" style="1" width="39.14"/>
    <col collapsed="false" customWidth="true" hidden="false" outlineLevel="0" max="5" min="4" style="1" width="30"/>
    <col collapsed="false" customWidth="true" hidden="false" outlineLevel="0" max="6" min="6" style="1" width="18"/>
    <col collapsed="false" customWidth="true" hidden="false" outlineLevel="0" max="7" min="7" style="1" width="22"/>
    <col collapsed="false" customWidth="true" hidden="false" outlineLevel="0" max="8" min="8" style="1" width="24"/>
    <col collapsed="false" customWidth="true" hidden="false" outlineLevel="0" max="9" min="9" style="1" width="16"/>
    <col collapsed="false" customWidth="true" hidden="false" outlineLevel="0" max="10" min="10" style="1" width="70"/>
    <col collapsed="false" customWidth="true" hidden="false" outlineLevel="0" max="11" min="11" style="1" width="14"/>
    <col collapsed="false" customWidth="true" hidden="false" outlineLevel="0" max="26" min="12" style="1" width="8.71"/>
  </cols>
  <sheetData>
    <row r="1" customFormat="false" ht="25.5" hidden="false" customHeight="true" outlineLevel="0" collapsed="false">
      <c r="A1" s="7" t="s">
        <v>8</v>
      </c>
      <c r="B1" s="7"/>
      <c r="C1" s="7"/>
      <c r="D1" s="7"/>
      <c r="E1" s="7"/>
      <c r="F1" s="7"/>
      <c r="G1" s="7"/>
      <c r="H1" s="7"/>
      <c r="I1" s="7"/>
      <c r="J1" s="7"/>
      <c r="K1" s="7"/>
    </row>
    <row r="2" customFormat="false" ht="23.25" hidden="false" customHeight="true" outlineLevel="0" collapsed="false">
      <c r="A2" s="8" t="s">
        <v>9</v>
      </c>
      <c r="B2" s="8" t="s">
        <v>10</v>
      </c>
      <c r="C2" s="8" t="s">
        <v>11</v>
      </c>
      <c r="D2" s="8" t="s">
        <v>12</v>
      </c>
      <c r="E2" s="8" t="s">
        <v>13</v>
      </c>
      <c r="F2" s="8" t="s">
        <v>14</v>
      </c>
      <c r="G2" s="8" t="s">
        <v>15</v>
      </c>
      <c r="H2" s="8" t="s">
        <v>16</v>
      </c>
      <c r="I2" s="8" t="s">
        <v>17</v>
      </c>
      <c r="J2" s="8" t="s">
        <v>18</v>
      </c>
      <c r="K2" s="8" t="s">
        <v>19</v>
      </c>
    </row>
    <row r="3" customFormat="false" ht="109.5" hidden="false" customHeight="true" outlineLevel="0" collapsed="false">
      <c r="A3" s="9" t="n">
        <v>1</v>
      </c>
      <c r="B3" s="9" t="n">
        <v>2017</v>
      </c>
      <c r="C3" s="9" t="s">
        <v>20</v>
      </c>
      <c r="D3" s="9" t="s">
        <v>21</v>
      </c>
      <c r="E3" s="10" t="s">
        <v>22</v>
      </c>
      <c r="F3" s="9" t="s">
        <v>23</v>
      </c>
      <c r="G3" s="9" t="s">
        <v>24</v>
      </c>
      <c r="H3" s="9" t="s">
        <v>25</v>
      </c>
      <c r="I3" s="9" t="s">
        <v>26</v>
      </c>
      <c r="J3" s="11" t="s">
        <v>27</v>
      </c>
      <c r="K3" s="9" t="s">
        <v>28</v>
      </c>
    </row>
    <row r="4" customFormat="false" ht="109.5" hidden="false" customHeight="true" outlineLevel="0" collapsed="false">
      <c r="A4" s="9" t="n">
        <v>2</v>
      </c>
      <c r="B4" s="9" t="n">
        <v>2012</v>
      </c>
      <c r="C4" s="9" t="s">
        <v>29</v>
      </c>
      <c r="D4" s="9" t="s">
        <v>30</v>
      </c>
      <c r="E4" s="10" t="s">
        <v>31</v>
      </c>
      <c r="F4" s="9" t="s">
        <v>32</v>
      </c>
      <c r="G4" s="9" t="s">
        <v>33</v>
      </c>
      <c r="H4" s="9" t="s">
        <v>25</v>
      </c>
      <c r="I4" s="9" t="s">
        <v>26</v>
      </c>
      <c r="J4" s="11" t="s">
        <v>34</v>
      </c>
      <c r="K4" s="9" t="s">
        <v>28</v>
      </c>
    </row>
    <row r="5" customFormat="false" ht="109.5" hidden="false" customHeight="true" outlineLevel="0" collapsed="false">
      <c r="A5" s="9" t="n">
        <v>3</v>
      </c>
      <c r="B5" s="9" t="n">
        <v>2025</v>
      </c>
      <c r="C5" s="9" t="s">
        <v>35</v>
      </c>
      <c r="D5" s="9" t="s">
        <v>36</v>
      </c>
      <c r="E5" s="10" t="s">
        <v>37</v>
      </c>
      <c r="F5" s="9" t="s">
        <v>23</v>
      </c>
      <c r="G5" s="9" t="s">
        <v>38</v>
      </c>
      <c r="H5" s="9" t="s">
        <v>25</v>
      </c>
      <c r="I5" s="9" t="s">
        <v>39</v>
      </c>
      <c r="J5" s="11" t="s">
        <v>40</v>
      </c>
      <c r="K5" s="9" t="s">
        <v>28</v>
      </c>
    </row>
    <row r="6" customFormat="false" ht="109.5" hidden="false" customHeight="true" outlineLevel="0" collapsed="false">
      <c r="A6" s="9" t="n">
        <v>4</v>
      </c>
      <c r="B6" s="9" t="n">
        <v>2008</v>
      </c>
      <c r="C6" s="9" t="s">
        <v>41</v>
      </c>
      <c r="D6" s="9" t="s">
        <v>42</v>
      </c>
      <c r="E6" s="10" t="s">
        <v>43</v>
      </c>
      <c r="F6" s="9" t="s">
        <v>23</v>
      </c>
      <c r="G6" s="9" t="s">
        <v>44</v>
      </c>
      <c r="H6" s="9" t="s">
        <v>25</v>
      </c>
      <c r="I6" s="9" t="s">
        <v>26</v>
      </c>
      <c r="J6" s="11" t="s">
        <v>45</v>
      </c>
      <c r="K6" s="9" t="s">
        <v>28</v>
      </c>
    </row>
    <row r="7" customFormat="false" ht="109.5" hidden="false" customHeight="true" outlineLevel="0" collapsed="false">
      <c r="A7" s="9" t="n">
        <v>5</v>
      </c>
      <c r="B7" s="9" t="n">
        <v>2026</v>
      </c>
      <c r="C7" s="9" t="s">
        <v>46</v>
      </c>
      <c r="D7" s="9" t="s">
        <v>47</v>
      </c>
      <c r="E7" s="10" t="s">
        <v>48</v>
      </c>
      <c r="F7" s="9" t="s">
        <v>49</v>
      </c>
      <c r="G7" s="9" t="s">
        <v>50</v>
      </c>
      <c r="H7" s="9" t="s">
        <v>25</v>
      </c>
      <c r="I7" s="9" t="s">
        <v>39</v>
      </c>
      <c r="J7" s="11" t="s">
        <v>51</v>
      </c>
      <c r="K7" s="9" t="s">
        <v>28</v>
      </c>
    </row>
    <row r="8" customFormat="false" ht="109.5" hidden="false" customHeight="true" outlineLevel="0" collapsed="false">
      <c r="A8" s="9" t="n">
        <v>6</v>
      </c>
      <c r="B8" s="9" t="n">
        <v>2024</v>
      </c>
      <c r="C8" s="9" t="s">
        <v>52</v>
      </c>
      <c r="D8" s="9" t="s">
        <v>53</v>
      </c>
      <c r="E8" s="10" t="s">
        <v>54</v>
      </c>
      <c r="F8" s="9" t="s">
        <v>55</v>
      </c>
      <c r="G8" s="9" t="s">
        <v>56</v>
      </c>
      <c r="H8" s="9" t="s">
        <v>57</v>
      </c>
      <c r="I8" s="9" t="s">
        <v>39</v>
      </c>
      <c r="J8" s="11" t="s">
        <v>58</v>
      </c>
      <c r="K8" s="9" t="s">
        <v>28</v>
      </c>
    </row>
    <row r="9" customFormat="false" ht="109.5" hidden="false" customHeight="true" outlineLevel="0" collapsed="false">
      <c r="A9" s="9" t="n">
        <v>7</v>
      </c>
      <c r="B9" s="9" t="n">
        <v>2019</v>
      </c>
      <c r="C9" s="9" t="s">
        <v>59</v>
      </c>
      <c r="D9" s="9" t="s">
        <v>60</v>
      </c>
      <c r="E9" s="10" t="s">
        <v>61</v>
      </c>
      <c r="F9" s="9" t="s">
        <v>62</v>
      </c>
      <c r="G9" s="9" t="s">
        <v>63</v>
      </c>
      <c r="H9" s="9" t="s">
        <v>25</v>
      </c>
      <c r="I9" s="9" t="s">
        <v>39</v>
      </c>
      <c r="J9" s="11" t="s">
        <v>64</v>
      </c>
      <c r="K9" s="9" t="s">
        <v>28</v>
      </c>
    </row>
    <row r="10" customFormat="false" ht="109.5" hidden="false" customHeight="true" outlineLevel="0" collapsed="false">
      <c r="A10" s="9" t="n">
        <v>8</v>
      </c>
      <c r="B10" s="9" t="n">
        <v>2017</v>
      </c>
      <c r="C10" s="9" t="s">
        <v>65</v>
      </c>
      <c r="D10" s="9" t="s">
        <v>66</v>
      </c>
      <c r="E10" s="10" t="s">
        <v>67</v>
      </c>
      <c r="F10" s="9" t="s">
        <v>68</v>
      </c>
      <c r="G10" s="9" t="s">
        <v>69</v>
      </c>
      <c r="H10" s="9" t="s">
        <v>70</v>
      </c>
      <c r="I10" s="9" t="s">
        <v>26</v>
      </c>
      <c r="J10" s="11" t="s">
        <v>71</v>
      </c>
      <c r="K10" s="9" t="s">
        <v>28</v>
      </c>
    </row>
    <row r="11" customFormat="false" ht="109.5" hidden="false" customHeight="true" outlineLevel="0" collapsed="false">
      <c r="A11" s="9" t="n">
        <v>9</v>
      </c>
      <c r="B11" s="9" t="n">
        <v>2020</v>
      </c>
      <c r="C11" s="9" t="s">
        <v>72</v>
      </c>
      <c r="D11" s="9" t="s">
        <v>73</v>
      </c>
      <c r="E11" s="10" t="s">
        <v>74</v>
      </c>
      <c r="F11" s="9" t="s">
        <v>75</v>
      </c>
      <c r="G11" s="9" t="s">
        <v>76</v>
      </c>
      <c r="H11" s="9" t="s">
        <v>70</v>
      </c>
      <c r="I11" s="9" t="s">
        <v>26</v>
      </c>
      <c r="J11" s="11" t="s">
        <v>77</v>
      </c>
      <c r="K11" s="9" t="s">
        <v>28</v>
      </c>
    </row>
    <row r="12" customFormat="false" ht="109.5" hidden="false" customHeight="true" outlineLevel="0" collapsed="false">
      <c r="A12" s="9" t="n">
        <v>10</v>
      </c>
      <c r="B12" s="9" t="n">
        <v>2011</v>
      </c>
      <c r="C12" s="9" t="s">
        <v>78</v>
      </c>
      <c r="D12" s="9" t="s">
        <v>79</v>
      </c>
      <c r="E12" s="10" t="s">
        <v>80</v>
      </c>
      <c r="F12" s="9" t="s">
        <v>81</v>
      </c>
      <c r="G12" s="9" t="s">
        <v>82</v>
      </c>
      <c r="H12" s="9" t="s">
        <v>25</v>
      </c>
      <c r="I12" s="9" t="s">
        <v>26</v>
      </c>
      <c r="J12" s="11" t="s">
        <v>83</v>
      </c>
      <c r="K12" s="9" t="s">
        <v>28</v>
      </c>
    </row>
    <row r="13" customFormat="false" ht="109.5" hidden="false" customHeight="true" outlineLevel="0" collapsed="false">
      <c r="A13" s="9" t="n">
        <v>11</v>
      </c>
      <c r="B13" s="9" t="n">
        <v>2023</v>
      </c>
      <c r="C13" s="9" t="s">
        <v>84</v>
      </c>
      <c r="D13" s="9" t="s">
        <v>85</v>
      </c>
      <c r="E13" s="10" t="s">
        <v>86</v>
      </c>
      <c r="F13" s="9" t="s">
        <v>75</v>
      </c>
      <c r="G13" s="9" t="s">
        <v>87</v>
      </c>
      <c r="H13" s="9" t="s">
        <v>70</v>
      </c>
      <c r="I13" s="9" t="s">
        <v>26</v>
      </c>
      <c r="J13" s="11" t="s">
        <v>88</v>
      </c>
      <c r="K13" s="9" t="s">
        <v>28</v>
      </c>
    </row>
    <row r="14" customFormat="false" ht="109.5" hidden="false" customHeight="true" outlineLevel="0" collapsed="false">
      <c r="A14" s="9" t="n">
        <v>12</v>
      </c>
      <c r="B14" s="9" t="n">
        <v>2023</v>
      </c>
      <c r="C14" s="9" t="s">
        <v>89</v>
      </c>
      <c r="D14" s="9" t="s">
        <v>90</v>
      </c>
      <c r="E14" s="10" t="s">
        <v>91</v>
      </c>
      <c r="F14" s="9" t="s">
        <v>49</v>
      </c>
      <c r="G14" s="9" t="s">
        <v>92</v>
      </c>
      <c r="H14" s="9" t="s">
        <v>70</v>
      </c>
      <c r="I14" s="9" t="s">
        <v>39</v>
      </c>
      <c r="J14" s="11" t="s">
        <v>93</v>
      </c>
      <c r="K14" s="9" t="s">
        <v>28</v>
      </c>
    </row>
    <row r="15" customFormat="false" ht="109.5" hidden="false" customHeight="true" outlineLevel="0" collapsed="false">
      <c r="A15" s="9" t="n">
        <v>13</v>
      </c>
      <c r="B15" s="9" t="n">
        <v>2020</v>
      </c>
      <c r="C15" s="9" t="s">
        <v>94</v>
      </c>
      <c r="D15" s="9" t="s">
        <v>95</v>
      </c>
      <c r="E15" s="10" t="s">
        <v>96</v>
      </c>
      <c r="F15" s="9" t="s">
        <v>75</v>
      </c>
      <c r="G15" s="9" t="s">
        <v>97</v>
      </c>
      <c r="H15" s="9" t="s">
        <v>25</v>
      </c>
      <c r="I15" s="9" t="s">
        <v>26</v>
      </c>
      <c r="J15" s="11" t="s">
        <v>98</v>
      </c>
      <c r="K15" s="9" t="s">
        <v>28</v>
      </c>
    </row>
    <row r="16" customFormat="false" ht="109.5" hidden="false" customHeight="true" outlineLevel="0" collapsed="false">
      <c r="A16" s="9" t="n">
        <v>14</v>
      </c>
      <c r="B16" s="9" t="n">
        <v>2017</v>
      </c>
      <c r="C16" s="9" t="s">
        <v>99</v>
      </c>
      <c r="D16" s="9" t="s">
        <v>100</v>
      </c>
      <c r="E16" s="10" t="s">
        <v>101</v>
      </c>
      <c r="F16" s="9" t="s">
        <v>102</v>
      </c>
      <c r="G16" s="9" t="s">
        <v>103</v>
      </c>
      <c r="H16" s="9" t="s">
        <v>25</v>
      </c>
      <c r="I16" s="9" t="s">
        <v>26</v>
      </c>
      <c r="J16" s="11" t="s">
        <v>104</v>
      </c>
      <c r="K16" s="9" t="s">
        <v>28</v>
      </c>
    </row>
    <row r="17" customFormat="false" ht="109.5" hidden="false" customHeight="true" outlineLevel="0" collapsed="false">
      <c r="A17" s="9" t="n">
        <v>15</v>
      </c>
      <c r="B17" s="9" t="n">
        <v>2015</v>
      </c>
      <c r="C17" s="9" t="s">
        <v>105</v>
      </c>
      <c r="D17" s="9" t="s">
        <v>106</v>
      </c>
      <c r="E17" s="10" t="s">
        <v>105</v>
      </c>
      <c r="F17" s="9" t="s">
        <v>102</v>
      </c>
      <c r="G17" s="9" t="s">
        <v>107</v>
      </c>
      <c r="H17" s="9" t="s">
        <v>25</v>
      </c>
      <c r="I17" s="9" t="s">
        <v>26</v>
      </c>
      <c r="J17" s="11" t="s">
        <v>108</v>
      </c>
      <c r="K17" s="9" t="s">
        <v>28</v>
      </c>
    </row>
    <row r="18" customFormat="false" ht="109.5" hidden="false" customHeight="true" outlineLevel="0" collapsed="false">
      <c r="A18" s="9" t="n">
        <v>16</v>
      </c>
      <c r="B18" s="9" t="n">
        <v>2025</v>
      </c>
      <c r="C18" s="9" t="s">
        <v>109</v>
      </c>
      <c r="D18" s="9" t="s">
        <v>110</v>
      </c>
      <c r="E18" s="10" t="s">
        <v>111</v>
      </c>
      <c r="F18" s="9" t="s">
        <v>112</v>
      </c>
      <c r="G18" s="9" t="s">
        <v>113</v>
      </c>
      <c r="H18" s="9" t="s">
        <v>114</v>
      </c>
      <c r="I18" s="9" t="s">
        <v>26</v>
      </c>
      <c r="J18" s="11" t="s">
        <v>115</v>
      </c>
      <c r="K18" s="9" t="s">
        <v>28</v>
      </c>
    </row>
    <row r="19" customFormat="false" ht="109.5" hidden="false" customHeight="true" outlineLevel="0" collapsed="false">
      <c r="A19" s="9" t="n">
        <v>17</v>
      </c>
      <c r="B19" s="9" t="n">
        <v>2025</v>
      </c>
      <c r="C19" s="9" t="s">
        <v>116</v>
      </c>
      <c r="D19" s="9" t="s">
        <v>117</v>
      </c>
      <c r="E19" s="10" t="s">
        <v>118</v>
      </c>
      <c r="F19" s="9" t="s">
        <v>119</v>
      </c>
      <c r="G19" s="9" t="s">
        <v>120</v>
      </c>
      <c r="H19" s="9" t="s">
        <v>114</v>
      </c>
      <c r="I19" s="9" t="s">
        <v>121</v>
      </c>
      <c r="J19" s="11" t="s">
        <v>122</v>
      </c>
      <c r="K19" s="9" t="s">
        <v>28</v>
      </c>
    </row>
    <row r="20" customFormat="false" ht="109.5" hidden="false" customHeight="true" outlineLevel="0" collapsed="false">
      <c r="A20" s="9" t="n">
        <v>18</v>
      </c>
      <c r="B20" s="9" t="n">
        <v>2021</v>
      </c>
      <c r="C20" s="9" t="s">
        <v>123</v>
      </c>
      <c r="D20" s="9" t="s">
        <v>124</v>
      </c>
      <c r="E20" s="10" t="s">
        <v>123</v>
      </c>
      <c r="F20" s="9" t="s">
        <v>49</v>
      </c>
      <c r="G20" s="9" t="s">
        <v>125</v>
      </c>
      <c r="H20" s="9" t="s">
        <v>114</v>
      </c>
      <c r="I20" s="9" t="s">
        <v>126</v>
      </c>
      <c r="J20" s="11" t="s">
        <v>127</v>
      </c>
      <c r="K20" s="9" t="s">
        <v>28</v>
      </c>
    </row>
    <row r="21" customFormat="false" ht="109.5" hidden="false" customHeight="true" outlineLevel="0" collapsed="false">
      <c r="A21" s="9" t="n">
        <v>19</v>
      </c>
      <c r="B21" s="9" t="n">
        <v>2026</v>
      </c>
      <c r="C21" s="9" t="s">
        <v>128</v>
      </c>
      <c r="D21" s="9" t="s">
        <v>129</v>
      </c>
      <c r="E21" s="10" t="s">
        <v>130</v>
      </c>
      <c r="F21" s="9" t="s">
        <v>131</v>
      </c>
      <c r="G21" s="9" t="s">
        <v>132</v>
      </c>
      <c r="H21" s="9" t="s">
        <v>133</v>
      </c>
      <c r="I21" s="9" t="s">
        <v>121</v>
      </c>
      <c r="J21" s="11" t="s">
        <v>134</v>
      </c>
      <c r="K21" s="9" t="s">
        <v>28</v>
      </c>
    </row>
    <row r="22" customFormat="false" ht="109.5" hidden="false" customHeight="true" outlineLevel="0" collapsed="false">
      <c r="A22" s="9" t="n">
        <v>20</v>
      </c>
      <c r="B22" s="9" t="n">
        <v>2025</v>
      </c>
      <c r="C22" s="9" t="s">
        <v>135</v>
      </c>
      <c r="D22" s="9" t="s">
        <v>136</v>
      </c>
      <c r="E22" s="10" t="s">
        <v>137</v>
      </c>
      <c r="F22" s="9" t="s">
        <v>112</v>
      </c>
      <c r="G22" s="9" t="s">
        <v>138</v>
      </c>
      <c r="H22" s="9" t="s">
        <v>139</v>
      </c>
      <c r="I22" s="9" t="s">
        <v>39</v>
      </c>
      <c r="J22" s="11" t="s">
        <v>140</v>
      </c>
      <c r="K22" s="9" t="s">
        <v>28</v>
      </c>
    </row>
    <row r="23" customFormat="false" ht="109.5" hidden="false" customHeight="true" outlineLevel="0" collapsed="false">
      <c r="A23" s="9" t="n">
        <v>21</v>
      </c>
      <c r="B23" s="9" t="n">
        <v>2021</v>
      </c>
      <c r="C23" s="9" t="s">
        <v>141</v>
      </c>
      <c r="D23" s="9" t="s">
        <v>142</v>
      </c>
      <c r="E23" s="10" t="s">
        <v>143</v>
      </c>
      <c r="F23" s="9" t="s">
        <v>144</v>
      </c>
      <c r="G23" s="9" t="s">
        <v>145</v>
      </c>
      <c r="H23" s="9" t="s">
        <v>139</v>
      </c>
      <c r="I23" s="9" t="s">
        <v>39</v>
      </c>
      <c r="J23" s="11" t="s">
        <v>146</v>
      </c>
      <c r="K23" s="9" t="s">
        <v>28</v>
      </c>
    </row>
    <row r="24" customFormat="false" ht="109.5" hidden="false" customHeight="true" outlineLevel="0" collapsed="false">
      <c r="A24" s="9" t="n">
        <v>22</v>
      </c>
      <c r="B24" s="9" t="n">
        <v>2011</v>
      </c>
      <c r="C24" s="9" t="s">
        <v>147</v>
      </c>
      <c r="D24" s="9" t="s">
        <v>148</v>
      </c>
      <c r="E24" s="10" t="s">
        <v>149</v>
      </c>
      <c r="F24" s="9" t="s">
        <v>49</v>
      </c>
      <c r="G24" s="9" t="s">
        <v>150</v>
      </c>
      <c r="H24" s="9" t="s">
        <v>114</v>
      </c>
      <c r="I24" s="9" t="s">
        <v>26</v>
      </c>
      <c r="J24" s="11" t="s">
        <v>151</v>
      </c>
      <c r="K24" s="9" t="s">
        <v>28</v>
      </c>
    </row>
    <row r="25" customFormat="false" ht="109.5" hidden="false" customHeight="true" outlineLevel="0" collapsed="false">
      <c r="A25" s="9" t="n">
        <v>23</v>
      </c>
      <c r="B25" s="9" t="n">
        <v>2023</v>
      </c>
      <c r="C25" s="9" t="s">
        <v>152</v>
      </c>
      <c r="D25" s="9" t="s">
        <v>153</v>
      </c>
      <c r="E25" s="10" t="s">
        <v>154</v>
      </c>
      <c r="F25" s="9" t="s">
        <v>112</v>
      </c>
      <c r="G25" s="9" t="s">
        <v>113</v>
      </c>
      <c r="H25" s="9" t="s">
        <v>114</v>
      </c>
      <c r="I25" s="9" t="s">
        <v>121</v>
      </c>
      <c r="J25" s="11" t="s">
        <v>155</v>
      </c>
      <c r="K25" s="9" t="s">
        <v>28</v>
      </c>
    </row>
    <row r="26" customFormat="false" ht="109.5" hidden="false" customHeight="true" outlineLevel="0" collapsed="false">
      <c r="A26" s="9" t="n">
        <v>24</v>
      </c>
      <c r="B26" s="9" t="n">
        <v>2024</v>
      </c>
      <c r="C26" s="9" t="s">
        <v>156</v>
      </c>
      <c r="D26" s="9" t="s">
        <v>157</v>
      </c>
      <c r="E26" s="10" t="s">
        <v>158</v>
      </c>
      <c r="F26" s="9" t="s">
        <v>49</v>
      </c>
      <c r="G26" s="9" t="s">
        <v>159</v>
      </c>
      <c r="H26" s="9" t="s">
        <v>114</v>
      </c>
      <c r="I26" s="9" t="s">
        <v>121</v>
      </c>
      <c r="J26" s="11" t="s">
        <v>160</v>
      </c>
      <c r="K26" s="9" t="s">
        <v>28</v>
      </c>
    </row>
    <row r="27" customFormat="false" ht="109.5" hidden="false" customHeight="true" outlineLevel="0" collapsed="false">
      <c r="A27" s="9" t="n">
        <v>25</v>
      </c>
      <c r="B27" s="9" t="n">
        <v>2025</v>
      </c>
      <c r="C27" s="9" t="s">
        <v>161</v>
      </c>
      <c r="D27" s="9" t="s">
        <v>162</v>
      </c>
      <c r="E27" s="10" t="s">
        <v>163</v>
      </c>
      <c r="F27" s="9" t="s">
        <v>49</v>
      </c>
      <c r="G27" s="9" t="s">
        <v>164</v>
      </c>
      <c r="H27" s="9" t="s">
        <v>114</v>
      </c>
      <c r="I27" s="9" t="s">
        <v>126</v>
      </c>
      <c r="J27" s="11" t="s">
        <v>165</v>
      </c>
      <c r="K27" s="9" t="s">
        <v>28</v>
      </c>
    </row>
    <row r="28" customFormat="false" ht="109.5" hidden="false" customHeight="true" outlineLevel="0" collapsed="false">
      <c r="A28" s="9" t="n">
        <v>26</v>
      </c>
      <c r="B28" s="9" t="n">
        <v>2022</v>
      </c>
      <c r="C28" s="9" t="s">
        <v>166</v>
      </c>
      <c r="D28" s="9" t="s">
        <v>167</v>
      </c>
      <c r="E28" s="10" t="s">
        <v>168</v>
      </c>
      <c r="F28" s="9" t="s">
        <v>49</v>
      </c>
      <c r="G28" s="9" t="s">
        <v>169</v>
      </c>
      <c r="H28" s="9" t="s">
        <v>114</v>
      </c>
      <c r="I28" s="9" t="s">
        <v>126</v>
      </c>
      <c r="J28" s="11" t="s">
        <v>170</v>
      </c>
      <c r="K28" s="9" t="s">
        <v>28</v>
      </c>
    </row>
    <row r="29" customFormat="false" ht="109.5" hidden="false" customHeight="true" outlineLevel="0" collapsed="false">
      <c r="A29" s="9" t="n">
        <v>27</v>
      </c>
      <c r="B29" s="9" t="n">
        <v>2021</v>
      </c>
      <c r="C29" s="9" t="s">
        <v>171</v>
      </c>
      <c r="D29" s="9" t="s">
        <v>172</v>
      </c>
      <c r="E29" s="10" t="s">
        <v>173</v>
      </c>
      <c r="F29" s="9" t="s">
        <v>49</v>
      </c>
      <c r="G29" s="9" t="s">
        <v>174</v>
      </c>
      <c r="H29" s="9" t="s">
        <v>139</v>
      </c>
      <c r="I29" s="9" t="s">
        <v>39</v>
      </c>
      <c r="J29" s="11" t="s">
        <v>175</v>
      </c>
      <c r="K29" s="9" t="s">
        <v>28</v>
      </c>
    </row>
    <row r="30" customFormat="false" ht="79.5" hidden="false" customHeight="true" outlineLevel="0" collapsed="false">
      <c r="A30" s="11" t="n">
        <v>28</v>
      </c>
      <c r="B30" s="11" t="n">
        <v>2023</v>
      </c>
      <c r="C30" s="11" t="s">
        <v>176</v>
      </c>
      <c r="D30" s="11" t="s">
        <v>177</v>
      </c>
      <c r="E30" s="11" t="s">
        <v>178</v>
      </c>
      <c r="F30" s="11" t="s">
        <v>49</v>
      </c>
      <c r="G30" s="11" t="s">
        <v>179</v>
      </c>
      <c r="H30" s="11" t="s">
        <v>114</v>
      </c>
      <c r="I30" s="11" t="s">
        <v>26</v>
      </c>
      <c r="J30" s="11" t="s">
        <v>180</v>
      </c>
      <c r="K30" s="11" t="s">
        <v>181</v>
      </c>
    </row>
    <row r="31" customFormat="false" ht="94.5" hidden="false" customHeight="true" outlineLevel="0" collapsed="false">
      <c r="A31" s="11" t="n">
        <v>29</v>
      </c>
      <c r="B31" s="11" t="n">
        <v>2010</v>
      </c>
      <c r="C31" s="11" t="s">
        <v>182</v>
      </c>
      <c r="D31" s="11" t="s">
        <v>183</v>
      </c>
      <c r="E31" s="11" t="s">
        <v>178</v>
      </c>
      <c r="F31" s="11" t="s">
        <v>102</v>
      </c>
      <c r="G31" s="11" t="s">
        <v>184</v>
      </c>
      <c r="H31" s="11" t="s">
        <v>133</v>
      </c>
      <c r="I31" s="11" t="s">
        <v>121</v>
      </c>
      <c r="J31" s="11" t="s">
        <v>185</v>
      </c>
      <c r="K31" s="11" t="s">
        <v>181</v>
      </c>
    </row>
    <row r="32" customFormat="false" ht="94.5" hidden="false" customHeight="true" outlineLevel="0" collapsed="false">
      <c r="A32" s="11" t="n">
        <v>30</v>
      </c>
      <c r="B32" s="11" t="n">
        <v>2016</v>
      </c>
      <c r="C32" s="11" t="s">
        <v>186</v>
      </c>
      <c r="D32" s="11" t="s">
        <v>187</v>
      </c>
      <c r="E32" s="11" t="s">
        <v>188</v>
      </c>
      <c r="F32" s="11" t="s">
        <v>49</v>
      </c>
      <c r="G32" s="11" t="s">
        <v>189</v>
      </c>
      <c r="H32" s="11" t="s">
        <v>133</v>
      </c>
      <c r="I32" s="11" t="s">
        <v>121</v>
      </c>
      <c r="J32" s="11" t="s">
        <v>190</v>
      </c>
      <c r="K32" s="11" t="s">
        <v>181</v>
      </c>
    </row>
    <row r="33" customFormat="false" ht="94.5" hidden="false" customHeight="true" outlineLevel="0" collapsed="false">
      <c r="A33" s="11" t="n">
        <v>31</v>
      </c>
      <c r="B33" s="11" t="n">
        <v>2004</v>
      </c>
      <c r="C33" s="11" t="s">
        <v>191</v>
      </c>
      <c r="D33" s="11" t="s">
        <v>192</v>
      </c>
      <c r="E33" s="11" t="s">
        <v>178</v>
      </c>
      <c r="F33" s="11" t="s">
        <v>178</v>
      </c>
      <c r="G33" s="11" t="s">
        <v>193</v>
      </c>
      <c r="H33" s="11" t="s">
        <v>25</v>
      </c>
      <c r="I33" s="11" t="s">
        <v>39</v>
      </c>
      <c r="J33" s="11" t="s">
        <v>194</v>
      </c>
      <c r="K33" s="11" t="s">
        <v>181</v>
      </c>
    </row>
    <row r="34" customFormat="false" ht="94.5" hidden="false" customHeight="true" outlineLevel="0" collapsed="false">
      <c r="A34" s="11" t="n">
        <v>32</v>
      </c>
      <c r="B34" s="11" t="n">
        <v>2013</v>
      </c>
      <c r="C34" s="11" t="s">
        <v>195</v>
      </c>
      <c r="D34" s="11" t="s">
        <v>196</v>
      </c>
      <c r="E34" s="11" t="s">
        <v>178</v>
      </c>
      <c r="F34" s="11" t="s">
        <v>178</v>
      </c>
      <c r="G34" s="11" t="s">
        <v>197</v>
      </c>
      <c r="H34" s="11" t="s">
        <v>25</v>
      </c>
      <c r="I34" s="11" t="s">
        <v>39</v>
      </c>
      <c r="J34" s="11" t="s">
        <v>198</v>
      </c>
      <c r="K34" s="11" t="s">
        <v>181</v>
      </c>
    </row>
    <row r="35" customFormat="false" ht="94.5" hidden="false" customHeight="true" outlineLevel="0" collapsed="false">
      <c r="A35" s="11" t="n">
        <v>33</v>
      </c>
      <c r="B35" s="11" t="n">
        <v>2011</v>
      </c>
      <c r="C35" s="11" t="s">
        <v>199</v>
      </c>
      <c r="D35" s="11" t="s">
        <v>178</v>
      </c>
      <c r="E35" s="11" t="s">
        <v>178</v>
      </c>
      <c r="F35" s="11" t="s">
        <v>178</v>
      </c>
      <c r="G35" s="11" t="s">
        <v>200</v>
      </c>
      <c r="H35" s="11" t="s">
        <v>25</v>
      </c>
      <c r="I35" s="11" t="s">
        <v>39</v>
      </c>
      <c r="J35" s="11" t="s">
        <v>201</v>
      </c>
      <c r="K35" s="11" t="s">
        <v>181</v>
      </c>
    </row>
    <row r="36" customFormat="false" ht="94.5" hidden="false" customHeight="true" outlineLevel="0" collapsed="false">
      <c r="A36" s="11" t="n">
        <v>34</v>
      </c>
      <c r="B36" s="11" t="n">
        <v>2016</v>
      </c>
      <c r="C36" s="11" t="s">
        <v>202</v>
      </c>
      <c r="D36" s="11" t="s">
        <v>178</v>
      </c>
      <c r="E36" s="11" t="s">
        <v>178</v>
      </c>
      <c r="F36" s="11" t="s">
        <v>178</v>
      </c>
      <c r="G36" s="11" t="s">
        <v>203</v>
      </c>
      <c r="H36" s="11" t="s">
        <v>25</v>
      </c>
      <c r="I36" s="11" t="s">
        <v>39</v>
      </c>
      <c r="J36" s="11" t="s">
        <v>204</v>
      </c>
      <c r="K36" s="11" t="s">
        <v>181</v>
      </c>
    </row>
    <row r="37" customFormat="false" ht="94.5" hidden="false" customHeight="true" outlineLevel="0" collapsed="false">
      <c r="A37" s="11" t="n">
        <v>35</v>
      </c>
      <c r="B37" s="11" t="n">
        <v>2021</v>
      </c>
      <c r="C37" s="11" t="s">
        <v>205</v>
      </c>
      <c r="D37" s="11" t="s">
        <v>178</v>
      </c>
      <c r="E37" s="11" t="s">
        <v>178</v>
      </c>
      <c r="F37" s="11" t="s">
        <v>178</v>
      </c>
      <c r="G37" s="11" t="s">
        <v>206</v>
      </c>
      <c r="H37" s="11" t="s">
        <v>25</v>
      </c>
      <c r="I37" s="11" t="s">
        <v>39</v>
      </c>
      <c r="J37" s="11" t="s">
        <v>207</v>
      </c>
      <c r="K37" s="11" t="s">
        <v>181</v>
      </c>
    </row>
    <row r="38" customFormat="false" ht="94.5" hidden="false" customHeight="true" outlineLevel="0" collapsed="false">
      <c r="A38" s="11" t="n">
        <v>36</v>
      </c>
      <c r="B38" s="11" t="n">
        <v>2025</v>
      </c>
      <c r="C38" s="11" t="s">
        <v>208</v>
      </c>
      <c r="D38" s="11" t="s">
        <v>178</v>
      </c>
      <c r="E38" s="11" t="s">
        <v>178</v>
      </c>
      <c r="F38" s="11" t="s">
        <v>178</v>
      </c>
      <c r="G38" s="11" t="s">
        <v>209</v>
      </c>
      <c r="H38" s="11" t="s">
        <v>139</v>
      </c>
      <c r="I38" s="11" t="s">
        <v>39</v>
      </c>
      <c r="J38" s="11" t="s">
        <v>210</v>
      </c>
      <c r="K38" s="11" t="s">
        <v>181</v>
      </c>
    </row>
    <row r="39" customFormat="false" ht="94.5" hidden="false" customHeight="true" outlineLevel="0" collapsed="false">
      <c r="A39" s="11" t="n">
        <v>37</v>
      </c>
      <c r="B39" s="11" t="n">
        <v>2026</v>
      </c>
      <c r="C39" s="11" t="s">
        <v>211</v>
      </c>
      <c r="D39" s="11" t="s">
        <v>178</v>
      </c>
      <c r="E39" s="11" t="s">
        <v>178</v>
      </c>
      <c r="F39" s="11" t="s">
        <v>178</v>
      </c>
      <c r="G39" s="11" t="s">
        <v>212</v>
      </c>
      <c r="H39" s="11" t="s">
        <v>25</v>
      </c>
      <c r="I39" s="11" t="s">
        <v>39</v>
      </c>
      <c r="J39" s="11" t="s">
        <v>213</v>
      </c>
      <c r="K39" s="11" t="s">
        <v>181</v>
      </c>
    </row>
    <row r="40" customFormat="false" ht="94.5" hidden="false" customHeight="true" outlineLevel="0" collapsed="false">
      <c r="A40" s="11" t="n">
        <v>38</v>
      </c>
      <c r="B40" s="11" t="n">
        <v>2006</v>
      </c>
      <c r="C40" s="11" t="s">
        <v>214</v>
      </c>
      <c r="D40" s="11" t="s">
        <v>215</v>
      </c>
      <c r="E40" s="11" t="s">
        <v>178</v>
      </c>
      <c r="F40" s="11" t="s">
        <v>178</v>
      </c>
      <c r="G40" s="11" t="s">
        <v>216</v>
      </c>
      <c r="H40" s="11" t="s">
        <v>133</v>
      </c>
      <c r="I40" s="11" t="s">
        <v>121</v>
      </c>
      <c r="J40" s="11" t="s">
        <v>217</v>
      </c>
      <c r="K40" s="11" t="s">
        <v>181</v>
      </c>
    </row>
    <row r="41" customFormat="false" ht="94.5" hidden="false" customHeight="true" outlineLevel="0" collapsed="false">
      <c r="A41" s="11" t="n">
        <v>39</v>
      </c>
      <c r="B41" s="11" t="n">
        <v>2015</v>
      </c>
      <c r="C41" s="11" t="s">
        <v>218</v>
      </c>
      <c r="D41" s="11" t="s">
        <v>178</v>
      </c>
      <c r="E41" s="11" t="s">
        <v>178</v>
      </c>
      <c r="F41" s="11" t="s">
        <v>178</v>
      </c>
      <c r="G41" s="11" t="s">
        <v>219</v>
      </c>
      <c r="H41" s="11" t="s">
        <v>133</v>
      </c>
      <c r="I41" s="11" t="s">
        <v>121</v>
      </c>
      <c r="J41" s="11" t="s">
        <v>220</v>
      </c>
      <c r="K41" s="11" t="s">
        <v>181</v>
      </c>
    </row>
    <row r="42" customFormat="false" ht="94.5" hidden="false" customHeight="true" outlineLevel="0" collapsed="false">
      <c r="A42" s="11" t="n">
        <v>40</v>
      </c>
      <c r="B42" s="11" t="n">
        <v>2007</v>
      </c>
      <c r="C42" s="11" t="s">
        <v>221</v>
      </c>
      <c r="D42" s="11" t="s">
        <v>178</v>
      </c>
      <c r="E42" s="11" t="s">
        <v>178</v>
      </c>
      <c r="F42" s="11" t="s">
        <v>178</v>
      </c>
      <c r="G42" s="11" t="s">
        <v>222</v>
      </c>
      <c r="H42" s="11" t="s">
        <v>133</v>
      </c>
      <c r="I42" s="11" t="s">
        <v>121</v>
      </c>
      <c r="J42" s="11" t="s">
        <v>223</v>
      </c>
      <c r="K42" s="11" t="s">
        <v>181</v>
      </c>
    </row>
    <row r="43" customFormat="false" ht="94.5" hidden="false" customHeight="true" outlineLevel="0" collapsed="false">
      <c r="A43" s="11" t="n">
        <v>41</v>
      </c>
      <c r="B43" s="11" t="n">
        <v>2016</v>
      </c>
      <c r="C43" s="11" t="s">
        <v>224</v>
      </c>
      <c r="D43" s="11" t="s">
        <v>178</v>
      </c>
      <c r="E43" s="11" t="s">
        <v>178</v>
      </c>
      <c r="F43" s="11" t="s">
        <v>178</v>
      </c>
      <c r="G43" s="11" t="s">
        <v>225</v>
      </c>
      <c r="H43" s="11" t="s">
        <v>57</v>
      </c>
      <c r="I43" s="11" t="s">
        <v>126</v>
      </c>
      <c r="J43" s="11" t="s">
        <v>226</v>
      </c>
      <c r="K43" s="11" t="s">
        <v>181</v>
      </c>
    </row>
    <row r="44" customFormat="false" ht="94.5" hidden="false" customHeight="true" outlineLevel="0" collapsed="false">
      <c r="A44" s="11" t="n">
        <v>42</v>
      </c>
      <c r="B44" s="11" t="n">
        <v>2009</v>
      </c>
      <c r="C44" s="11" t="s">
        <v>227</v>
      </c>
      <c r="D44" s="11" t="s">
        <v>228</v>
      </c>
      <c r="E44" s="11" t="s">
        <v>229</v>
      </c>
      <c r="F44" s="11" t="s">
        <v>230</v>
      </c>
      <c r="G44" s="11" t="s">
        <v>231</v>
      </c>
      <c r="H44" s="11" t="s">
        <v>114</v>
      </c>
      <c r="I44" s="11" t="s">
        <v>26</v>
      </c>
      <c r="J44" s="11" t="s">
        <v>232</v>
      </c>
      <c r="K44" s="11" t="s">
        <v>28</v>
      </c>
    </row>
    <row r="45" customFormat="false" ht="94.5" hidden="false" customHeight="true" outlineLevel="0" collapsed="false">
      <c r="A45" s="11" t="n">
        <v>43</v>
      </c>
      <c r="B45" s="11" t="n">
        <v>2019</v>
      </c>
      <c r="C45" s="11" t="s">
        <v>233</v>
      </c>
      <c r="D45" s="11" t="s">
        <v>234</v>
      </c>
      <c r="E45" s="11" t="s">
        <v>235</v>
      </c>
      <c r="F45" s="11" t="s">
        <v>112</v>
      </c>
      <c r="G45" s="11" t="s">
        <v>236</v>
      </c>
      <c r="H45" s="11" t="s">
        <v>25</v>
      </c>
      <c r="I45" s="11" t="s">
        <v>39</v>
      </c>
      <c r="J45" s="11" t="s">
        <v>237</v>
      </c>
      <c r="K45" s="11" t="s">
        <v>181</v>
      </c>
    </row>
    <row r="46" customFormat="false" ht="94.5" hidden="false" customHeight="true" outlineLevel="0" collapsed="false">
      <c r="A46" s="11" t="n">
        <v>44</v>
      </c>
      <c r="B46" s="11" t="n">
        <v>2016</v>
      </c>
      <c r="C46" s="11" t="s">
        <v>238</v>
      </c>
      <c r="D46" s="11" t="s">
        <v>239</v>
      </c>
      <c r="E46" s="11" t="s">
        <v>178</v>
      </c>
      <c r="F46" s="11" t="s">
        <v>178</v>
      </c>
      <c r="G46" s="11" t="s">
        <v>240</v>
      </c>
      <c r="H46" s="11" t="s">
        <v>25</v>
      </c>
      <c r="I46" s="11" t="s">
        <v>39</v>
      </c>
      <c r="J46" s="11" t="s">
        <v>241</v>
      </c>
      <c r="K46" s="11" t="s">
        <v>181</v>
      </c>
    </row>
    <row r="47" customFormat="false" ht="94.5" hidden="false" customHeight="true" outlineLevel="0" collapsed="false">
      <c r="A47" s="11" t="n">
        <v>45</v>
      </c>
      <c r="B47" s="11" t="n">
        <v>2022</v>
      </c>
      <c r="C47" s="11" t="s">
        <v>242</v>
      </c>
      <c r="D47" s="11" t="s">
        <v>243</v>
      </c>
      <c r="E47" s="11" t="s">
        <v>178</v>
      </c>
      <c r="F47" s="11" t="s">
        <v>178</v>
      </c>
      <c r="G47" s="11" t="s">
        <v>244</v>
      </c>
      <c r="H47" s="11" t="s">
        <v>25</v>
      </c>
      <c r="I47" s="11" t="s">
        <v>39</v>
      </c>
      <c r="J47" s="11" t="s">
        <v>245</v>
      </c>
      <c r="K47" s="11" t="s">
        <v>181</v>
      </c>
    </row>
    <row r="48" customFormat="false" ht="94.5" hidden="false" customHeight="true" outlineLevel="0" collapsed="false">
      <c r="A48" s="11" t="n">
        <v>46</v>
      </c>
      <c r="B48" s="11" t="n">
        <v>2016</v>
      </c>
      <c r="C48" s="11" t="s">
        <v>246</v>
      </c>
      <c r="D48" s="11" t="s">
        <v>247</v>
      </c>
      <c r="E48" s="11" t="s">
        <v>178</v>
      </c>
      <c r="F48" s="11" t="s">
        <v>23</v>
      </c>
      <c r="G48" s="11" t="s">
        <v>206</v>
      </c>
      <c r="H48" s="11" t="s">
        <v>25</v>
      </c>
      <c r="I48" s="11" t="s">
        <v>39</v>
      </c>
      <c r="J48" s="11" t="s">
        <v>248</v>
      </c>
      <c r="K48" s="11" t="s">
        <v>181</v>
      </c>
    </row>
    <row r="49" customFormat="false" ht="48" hidden="false" customHeight="true" outlineLevel="0" collapsed="false">
      <c r="A49" s="12" t="n">
        <v>47</v>
      </c>
      <c r="B49" s="12"/>
      <c r="C49" s="12"/>
      <c r="D49" s="12"/>
      <c r="E49" s="12"/>
      <c r="F49" s="12"/>
      <c r="G49" s="12"/>
      <c r="H49" s="12"/>
      <c r="I49" s="12"/>
      <c r="J49" s="12"/>
      <c r="K49" s="12"/>
    </row>
    <row r="50" customFormat="false" ht="48" hidden="false" customHeight="true" outlineLevel="0" collapsed="false">
      <c r="A50" s="12" t="n">
        <v>48</v>
      </c>
      <c r="B50" s="12"/>
      <c r="C50" s="12"/>
      <c r="D50" s="12"/>
      <c r="E50" s="12"/>
      <c r="F50" s="12"/>
      <c r="G50" s="12"/>
      <c r="H50" s="12"/>
      <c r="I50" s="12"/>
      <c r="J50" s="12"/>
      <c r="K50" s="12"/>
    </row>
    <row r="51" customFormat="false" ht="48" hidden="false" customHeight="true" outlineLevel="0" collapsed="false">
      <c r="A51" s="12" t="n">
        <v>49</v>
      </c>
      <c r="B51" s="12"/>
      <c r="C51" s="12"/>
      <c r="D51" s="12"/>
      <c r="E51" s="12"/>
      <c r="F51" s="12"/>
      <c r="G51" s="12"/>
      <c r="H51" s="12"/>
      <c r="I51" s="12"/>
      <c r="J51" s="12"/>
      <c r="K51" s="12"/>
    </row>
    <row r="52" customFormat="false" ht="48" hidden="false" customHeight="true" outlineLevel="0" collapsed="false">
      <c r="A52" s="12" t="n">
        <v>50</v>
      </c>
      <c r="B52" s="12"/>
      <c r="C52" s="12"/>
      <c r="D52" s="12"/>
      <c r="E52" s="12"/>
      <c r="F52" s="12"/>
      <c r="G52" s="12"/>
      <c r="H52" s="12"/>
      <c r="I52" s="12"/>
      <c r="J52" s="12"/>
      <c r="K52" s="12"/>
    </row>
    <row r="53" customFormat="false" ht="48" hidden="false" customHeight="true" outlineLevel="0" collapsed="false">
      <c r="A53" s="12" t="n">
        <v>51</v>
      </c>
      <c r="B53" s="12"/>
      <c r="C53" s="12"/>
      <c r="D53" s="12"/>
      <c r="E53" s="12"/>
      <c r="F53" s="12"/>
      <c r="G53" s="12"/>
      <c r="H53" s="12"/>
      <c r="I53" s="12"/>
      <c r="J53" s="12"/>
      <c r="K53" s="12"/>
    </row>
    <row r="54" customFormat="false" ht="48" hidden="false" customHeight="true" outlineLevel="0" collapsed="false">
      <c r="A54" s="12" t="n">
        <v>52</v>
      </c>
      <c r="B54" s="12"/>
      <c r="C54" s="12"/>
      <c r="D54" s="12"/>
      <c r="E54" s="12"/>
      <c r="F54" s="12"/>
      <c r="G54" s="12"/>
      <c r="H54" s="12"/>
      <c r="I54" s="12"/>
      <c r="J54" s="12"/>
      <c r="K54" s="12"/>
    </row>
    <row r="55" customFormat="false" ht="48" hidden="false" customHeight="true" outlineLevel="0" collapsed="false">
      <c r="A55" s="12" t="n">
        <v>53</v>
      </c>
      <c r="B55" s="12"/>
      <c r="C55" s="12"/>
      <c r="D55" s="12"/>
      <c r="E55" s="12"/>
      <c r="F55" s="12"/>
      <c r="G55" s="12"/>
      <c r="H55" s="12"/>
      <c r="I55" s="12"/>
      <c r="J55" s="12"/>
      <c r="K55" s="12"/>
    </row>
    <row r="56" customFormat="false" ht="48" hidden="false" customHeight="true" outlineLevel="0" collapsed="false">
      <c r="A56" s="12" t="n">
        <v>54</v>
      </c>
      <c r="B56" s="12"/>
      <c r="C56" s="12"/>
      <c r="D56" s="12"/>
      <c r="E56" s="12"/>
      <c r="F56" s="12"/>
      <c r="G56" s="12"/>
      <c r="H56" s="12"/>
      <c r="I56" s="12"/>
      <c r="J56" s="12"/>
      <c r="K56" s="12"/>
    </row>
    <row r="57" customFormat="false" ht="48" hidden="false" customHeight="true" outlineLevel="0" collapsed="false">
      <c r="A57" s="12" t="n">
        <v>55</v>
      </c>
      <c r="B57" s="12"/>
      <c r="C57" s="12"/>
      <c r="D57" s="12"/>
      <c r="E57" s="12"/>
      <c r="F57" s="12"/>
      <c r="G57" s="12"/>
      <c r="H57" s="12"/>
      <c r="I57" s="12"/>
      <c r="J57" s="12"/>
      <c r="K57" s="12"/>
    </row>
    <row r="58" customFormat="false" ht="48" hidden="false" customHeight="true" outlineLevel="0" collapsed="false">
      <c r="A58" s="12" t="n">
        <v>56</v>
      </c>
      <c r="B58" s="12"/>
      <c r="C58" s="12"/>
      <c r="D58" s="12"/>
      <c r="E58" s="12"/>
      <c r="F58" s="12"/>
      <c r="G58" s="12"/>
      <c r="H58" s="12"/>
      <c r="I58" s="12"/>
      <c r="J58" s="12"/>
      <c r="K58" s="12"/>
    </row>
    <row r="59" customFormat="false" ht="48" hidden="false" customHeight="true" outlineLevel="0" collapsed="false">
      <c r="A59" s="12" t="n">
        <v>57</v>
      </c>
      <c r="B59" s="12"/>
      <c r="C59" s="12"/>
      <c r="D59" s="12"/>
      <c r="E59" s="12"/>
      <c r="F59" s="12"/>
      <c r="G59" s="12"/>
      <c r="H59" s="12"/>
      <c r="I59" s="12"/>
      <c r="J59" s="12"/>
      <c r="K59" s="12"/>
    </row>
    <row r="60" customFormat="false" ht="48" hidden="false" customHeight="true" outlineLevel="0" collapsed="false">
      <c r="A60" s="12" t="n">
        <v>58</v>
      </c>
      <c r="B60" s="12"/>
      <c r="C60" s="12"/>
      <c r="D60" s="12"/>
      <c r="E60" s="12"/>
      <c r="F60" s="12"/>
      <c r="G60" s="12"/>
      <c r="H60" s="12"/>
      <c r="I60" s="12"/>
      <c r="J60" s="12"/>
      <c r="K60" s="12"/>
    </row>
    <row r="61" customFormat="false" ht="48" hidden="false" customHeight="true" outlineLevel="0" collapsed="false">
      <c r="A61" s="12" t="n">
        <v>59</v>
      </c>
      <c r="B61" s="12"/>
      <c r="C61" s="12"/>
      <c r="D61" s="12"/>
      <c r="E61" s="12"/>
      <c r="F61" s="12"/>
      <c r="G61" s="12"/>
      <c r="H61" s="12"/>
      <c r="I61" s="12"/>
      <c r="J61" s="12"/>
      <c r="K61" s="12"/>
    </row>
    <row r="62" customFormat="false" ht="48" hidden="false" customHeight="true" outlineLevel="0" collapsed="false">
      <c r="A62" s="12" t="n">
        <v>60</v>
      </c>
      <c r="B62" s="12"/>
      <c r="C62" s="12"/>
      <c r="D62" s="12"/>
      <c r="E62" s="12"/>
      <c r="F62" s="12"/>
      <c r="G62" s="12"/>
      <c r="H62" s="12"/>
      <c r="I62" s="12"/>
      <c r="J62" s="12"/>
      <c r="K62" s="12"/>
    </row>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
    <mergeCell ref="A1:K1"/>
  </mergeCells>
  <dataValidations count="3">
    <dataValidation allowBlank="true" errorStyle="stop" operator="between" showDropDown="false" showErrorMessage="false" showInputMessage="false" sqref="K3:K62" type="list">
      <formula1>"Sí,No"</formula1>
      <formula2>0</formula2>
    </dataValidation>
    <dataValidation allowBlank="true" errorStyle="stop" operator="between" showDropDown="false" showErrorMessage="false" showInputMessage="false" sqref="H3:H62" type="list">
      <formula1>"Fuga de información,Validación de modelos,Minería de procesos,Datos sintéticos,Sepsis / contexto clínico,Otro"</formula1>
      <formula2>0</formula2>
    </dataValidation>
    <dataValidation allowBlank="true" errorStyle="stop" operator="between" showDropDown="false" showErrorMessage="false" showInputMessage="false" sqref="I3:I62" type="list">
      <formula1>"OE1,OE2,OE3,Marco general"</formula1>
      <formula2>0</formula2>
    </dataValidation>
  </dataValidations>
  <hyperlinks>
    <hyperlink ref="E3" r:id="rId1" display="Analyzing the trajectories of patients with sepsis using process mining - Research portal Eindhoven University of Technology"/>
    <hyperlink ref="E4" r:id="rId2" display="Business process analysis in healthcare environments: A methodology based on process mining - ScienceDirect"/>
    <hyperlink ref="E5" r:id="rId3" display="https://peerj.com/articles/cs-2613/"/>
    <hyperlink ref="E6" r:id="rId4" display="(PDF) Process Mining in Healthcare - A Case Study."/>
    <hyperlink ref="E7" r:id="rId5" display="https://www.researchgate.net/publication/402032002"/>
    <hyperlink ref="E8" r:id="rId6" display="Combining Process Mining and Process Simulation in Healthcare: A Literature Review | IEEE Journals &amp; Magazine | IEEE Xplore"/>
    <hyperlink ref="E9" r:id="rId7" display="https://laccei.org/LACCEI2019-MontegoBay/full_papers/FP286.pdf"/>
    <hyperlink ref="E10" r:id="rId8" display="https://ieeexplore.ieee.org/abstract/document/8269727"/>
    <hyperlink ref="E11" r:id="rId9" display="Analysis and Optimization of a Sepsis Clinical Pathway Using Process Mining | Springer Nature Link453-2_37"/>
    <hyperlink ref="E12" r:id="rId10" display="https://www.researchgate.net/publication/236007639"/>
    <hyperlink ref="E13" r:id="rId11" display="https://doi.org/10.34178/jbth.v6iSuppl2.354"/>
    <hyperlink ref="E14" r:id="rId12" display="https://doi.org/10.1287/msom.2023.1226"/>
    <hyperlink ref="E15" r:id="rId13" display="Process mining project methodology in healthcare: a case study in a tertiary hospital | Network Modeling Analysis in Health Informatics and Bioinformatics | Springer Nature Link0227-w"/>
    <hyperlink ref="E16" r:id="rId14" display="Process mining routinely collected electronic health records to define real-life clinical pathways during chemotherapy - ScienceDirect"/>
    <hyperlink ref="E17" r:id="rId15" display="Building Data-Driven Pathways From Routinely Collected Hospital Data: A Case Study on Prostate Cancer"/>
    <hyperlink ref="E18" r:id="rId16" display="Overview of leakage scenarios in supervised machine learning | Journal of Big Data | Springer Nature Link186/s40537-025-01193-8"/>
    <hyperlink ref="E19" r:id="rId17" display="Don’t push the button! Exploring data leakage risks in machine learning and transfer learning | Artificial Intelligence Review"/>
    <hyperlink ref="E20" r:id="rId18" display="Measuring data leakage in machine-learning models with Fisher information"/>
    <hyperlink ref="E21" r:id="rId19" display="Preventing Data Leakage in Classification via Integrated Machine Learning Pipelines: Preprocessing, Feature Transformation, and Hyperparameter Tuning | Jurnal Teknik Informatika (Jutif)"/>
    <hyperlink ref="E22" r:id="rId20" display="https://doi.org/10.1016/j.is.2025.102549"/>
    <hyperlink ref="E23" r:id="rId21" display="Machine Learning: Algorithms, Real-World Applications and Research Directions | SN Computer Science"/>
    <hyperlink ref="E24" r:id="rId22" display="Leakage in Data Mining: Formulation, Detection, and Avoidance"/>
    <hyperlink ref="E25" r:id="rId23" display="[2311.04179] On Leakage in Machine Learning Pipelines"/>
    <hyperlink ref="E26" r:id="rId24" display="Data leakage inflates prediction performance in connectome-based machine learning models | Nature Communications"/>
    <hyperlink ref="E27" r:id="rId25" display="[2503.14723] LeakageDetector: An Open Source Data Leakage Analysis Tool in Machine Learning Pipelines"/>
    <hyperlink ref="E28" r:id="rId26" display="https://doi.org/10.1145/3551349.3556918"/>
    <hyperlink ref="E29" r:id="rId27" display="[1904.09483] CleanML: A Study for Evaluating the Impact of Data Cleaning on ML Classification Task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8"/>
    <col collapsed="false" customWidth="true" hidden="false" outlineLevel="0" max="2" min="2" style="1" width="50"/>
    <col collapsed="false" customWidth="true" hidden="false" outlineLevel="0" max="3" min="3" style="1" width="22"/>
    <col collapsed="false" customWidth="true" hidden="false" outlineLevel="0" max="4" min="4" style="1" width="28"/>
    <col collapsed="false" customWidth="true" hidden="false" outlineLevel="0" max="5" min="5" style="1" width="14"/>
    <col collapsed="false" customWidth="true" hidden="false" outlineLevel="0" max="6" min="6" style="1" width="44"/>
  </cols>
  <sheetData>
    <row r="1" customFormat="false" ht="25.5" hidden="false" customHeight="true" outlineLevel="0" collapsed="false">
      <c r="A1" s="7" t="s">
        <v>249</v>
      </c>
      <c r="B1" s="7"/>
      <c r="C1" s="7"/>
      <c r="D1" s="7"/>
      <c r="E1" s="7"/>
      <c r="F1" s="7"/>
      <c r="G1" s="7"/>
    </row>
    <row r="3" customFormat="false" ht="23.25" hidden="false" customHeight="true" outlineLevel="0" collapsed="false">
      <c r="A3" s="13" t="s">
        <v>16</v>
      </c>
      <c r="B3" s="13" t="s">
        <v>250</v>
      </c>
      <c r="C3" s="13" t="s">
        <v>251</v>
      </c>
      <c r="D3" s="13" t="s">
        <v>252</v>
      </c>
      <c r="E3" s="13" t="s">
        <v>253</v>
      </c>
      <c r="F3" s="13" t="s">
        <v>254</v>
      </c>
    </row>
    <row r="4" customFormat="false" ht="48" hidden="false" customHeight="true" outlineLevel="0" collapsed="false">
      <c r="A4" s="11" t="s">
        <v>255</v>
      </c>
      <c r="B4" s="11" t="s">
        <v>256</v>
      </c>
      <c r="C4" s="11" t="s">
        <v>257</v>
      </c>
      <c r="D4" s="11" t="s">
        <v>258</v>
      </c>
      <c r="E4" s="11" t="n">
        <f aca="false">LEN(D4)-LEN(SUBSTITUTE(D4,"#",""))</f>
        <v>7</v>
      </c>
      <c r="F4" s="11" t="s">
        <v>259</v>
      </c>
    </row>
    <row r="5" customFormat="false" ht="48" hidden="false" customHeight="true" outlineLevel="0" collapsed="false">
      <c r="A5" s="11" t="s">
        <v>260</v>
      </c>
      <c r="B5" s="11" t="s">
        <v>261</v>
      </c>
      <c r="C5" s="11" t="s">
        <v>121</v>
      </c>
      <c r="D5" s="11" t="s">
        <v>262</v>
      </c>
      <c r="E5" s="11" t="n">
        <f aca="false">LEN(D5)-LEN(SUBSTITUTE(D5,"#",""))</f>
        <v>5</v>
      </c>
      <c r="F5" s="11" t="s">
        <v>263</v>
      </c>
    </row>
    <row r="6" customFormat="false" ht="48" hidden="false" customHeight="true" outlineLevel="0" collapsed="false">
      <c r="A6" s="11" t="s">
        <v>264</v>
      </c>
      <c r="B6" s="11" t="s">
        <v>265</v>
      </c>
      <c r="C6" s="11" t="s">
        <v>26</v>
      </c>
      <c r="D6" s="11" t="s">
        <v>266</v>
      </c>
      <c r="E6" s="11" t="n">
        <f aca="false">LEN(D6)-LEN(SUBSTITUTE(D6,"#",""))</f>
        <v>17</v>
      </c>
      <c r="F6" s="11" t="s">
        <v>267</v>
      </c>
    </row>
    <row r="7" customFormat="false" ht="48" hidden="false" customHeight="true" outlineLevel="0" collapsed="false">
      <c r="A7" s="11" t="s">
        <v>268</v>
      </c>
      <c r="B7" s="11" t="s">
        <v>269</v>
      </c>
      <c r="C7" s="11" t="s">
        <v>126</v>
      </c>
      <c r="D7" s="11" t="s">
        <v>270</v>
      </c>
      <c r="E7" s="11" t="n">
        <f aca="false">LEN(D7)-LEN(SUBSTITUTE(D7,"#",""))</f>
        <v>3</v>
      </c>
      <c r="F7" s="11" t="s">
        <v>271</v>
      </c>
    </row>
    <row r="8" customFormat="false" ht="48" hidden="false" customHeight="true" outlineLevel="0" collapsed="false">
      <c r="A8" s="11" t="s">
        <v>272</v>
      </c>
      <c r="B8" s="11" t="s">
        <v>273</v>
      </c>
      <c r="C8" s="11" t="s">
        <v>274</v>
      </c>
      <c r="D8" s="11" t="s">
        <v>275</v>
      </c>
      <c r="E8" s="11" t="n">
        <f aca="false">LEN(D8)-LEN(SUBSTITUTE(D8,"#",""))</f>
        <v>2</v>
      </c>
      <c r="F8" s="11" t="s">
        <v>259</v>
      </c>
    </row>
    <row r="9" customFormat="false" ht="48" hidden="false" customHeight="true" outlineLevel="0" collapsed="false">
      <c r="A9" s="11" t="s">
        <v>276</v>
      </c>
      <c r="B9" s="11" t="s">
        <v>277</v>
      </c>
      <c r="C9" s="11" t="s">
        <v>121</v>
      </c>
      <c r="D9" s="11" t="s">
        <v>278</v>
      </c>
      <c r="E9" s="11" t="n">
        <f aca="false">LEN(D9)-LEN(SUBSTITUTE(D9,"#",""))</f>
        <v>4</v>
      </c>
      <c r="F9" s="11" t="s">
        <v>279</v>
      </c>
    </row>
    <row r="10" customFormat="false" ht="48" hidden="false" customHeight="true" outlineLevel="0" collapsed="false">
      <c r="A10" s="11" t="s">
        <v>280</v>
      </c>
      <c r="B10" s="11" t="s">
        <v>281</v>
      </c>
      <c r="C10" s="11" t="s">
        <v>282</v>
      </c>
      <c r="D10" s="11" t="s">
        <v>283</v>
      </c>
      <c r="E10" s="11" t="n">
        <f aca="false">LEN(D10)-LEN(SUBSTITUTE(D10,"#",""))</f>
        <v>1</v>
      </c>
      <c r="F10" s="11" t="s">
        <v>284</v>
      </c>
    </row>
  </sheetData>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50"/>
    <col collapsed="false" customWidth="true" hidden="false" outlineLevel="0" max="3" min="3" style="1" width="14"/>
    <col collapsed="false" customWidth="true" hidden="false" outlineLevel="0" max="4" min="4" style="1" width="28"/>
    <col collapsed="false" customWidth="true" hidden="false" outlineLevel="0" max="5" min="5" style="1" width="26"/>
    <col collapsed="false" customWidth="true" hidden="false" outlineLevel="0" max="6" min="6" style="1" width="24"/>
    <col collapsed="false" customWidth="true" hidden="false" outlineLevel="0" max="7" min="7" style="1" width="26"/>
    <col collapsed="false" customWidth="true" hidden="false" outlineLevel="0" max="8" min="8" style="1" width="14"/>
    <col collapsed="false" customWidth="true" hidden="false" outlineLevel="0" max="9" min="9" style="1" width="34"/>
  </cols>
  <sheetData>
    <row r="1" customFormat="false" ht="25.5" hidden="false" customHeight="true" outlineLevel="0" collapsed="false">
      <c r="A1" s="7" t="s">
        <v>285</v>
      </c>
      <c r="B1" s="7"/>
      <c r="C1" s="7"/>
      <c r="D1" s="7"/>
      <c r="E1" s="7"/>
      <c r="F1" s="7"/>
      <c r="G1" s="7"/>
      <c r="H1" s="7"/>
      <c r="I1" s="7"/>
    </row>
    <row r="3" customFormat="false" ht="15" hidden="false" customHeight="true" outlineLevel="0" collapsed="false">
      <c r="A3" s="13" t="s">
        <v>286</v>
      </c>
      <c r="B3" s="13" t="s">
        <v>287</v>
      </c>
      <c r="C3" s="13" t="s">
        <v>288</v>
      </c>
      <c r="D3" s="13" t="s">
        <v>289</v>
      </c>
      <c r="E3" s="13" t="s">
        <v>290</v>
      </c>
      <c r="F3" s="13" t="s">
        <v>291</v>
      </c>
      <c r="G3" s="13" t="s">
        <v>292</v>
      </c>
      <c r="H3" s="13" t="s">
        <v>293</v>
      </c>
      <c r="I3" s="13" t="s">
        <v>294</v>
      </c>
    </row>
    <row r="4" customFormat="false" ht="79.5" hidden="false" customHeight="true" outlineLevel="0" collapsed="false">
      <c r="A4" s="11" t="s">
        <v>295</v>
      </c>
      <c r="B4" s="11" t="s">
        <v>296</v>
      </c>
      <c r="C4" s="11" t="s">
        <v>297</v>
      </c>
      <c r="D4" s="11" t="s">
        <v>298</v>
      </c>
      <c r="E4" s="11" t="s">
        <v>299</v>
      </c>
      <c r="F4" s="11" t="s">
        <v>300</v>
      </c>
      <c r="G4" s="11" t="s">
        <v>301</v>
      </c>
      <c r="H4" s="11" t="n">
        <f aca="false">COUNTA('ESTADO DEL ARTE'!C3:C29)</f>
        <v>27</v>
      </c>
      <c r="I4" s="11" t="s">
        <v>302</v>
      </c>
    </row>
    <row r="5" customFormat="false" ht="79.5" hidden="false" customHeight="true" outlineLevel="0" collapsed="false">
      <c r="A5" s="11" t="s">
        <v>26</v>
      </c>
      <c r="B5" s="11" t="s">
        <v>303</v>
      </c>
      <c r="C5" s="11" t="s">
        <v>304</v>
      </c>
      <c r="D5" s="11" t="s">
        <v>305</v>
      </c>
      <c r="E5" s="11" t="s">
        <v>306</v>
      </c>
      <c r="F5" s="11" t="s">
        <v>307</v>
      </c>
      <c r="G5" s="11" t="s">
        <v>308</v>
      </c>
      <c r="H5" s="11" t="n">
        <f aca="false">COUNTIF('ESTADO DEL ARTE'!I3:I29,"OE1")</f>
        <v>12</v>
      </c>
      <c r="I5" s="11" t="s">
        <v>309</v>
      </c>
    </row>
    <row r="6" customFormat="false" ht="79.5" hidden="false" customHeight="true" outlineLevel="0" collapsed="false">
      <c r="A6" s="11" t="s">
        <v>121</v>
      </c>
      <c r="B6" s="11" t="s">
        <v>310</v>
      </c>
      <c r="C6" s="11" t="s">
        <v>311</v>
      </c>
      <c r="D6" s="11" t="s">
        <v>312</v>
      </c>
      <c r="E6" s="11" t="s">
        <v>313</v>
      </c>
      <c r="F6" s="11" t="s">
        <v>314</v>
      </c>
      <c r="G6" s="11" t="s">
        <v>315</v>
      </c>
      <c r="H6" s="11" t="n">
        <f aca="false">COUNTIF('ESTADO DEL ARTE'!I3:I29,"OE2")</f>
        <v>4</v>
      </c>
      <c r="I6" s="11" t="s">
        <v>316</v>
      </c>
    </row>
    <row r="7" customFormat="false" ht="79.5" hidden="false" customHeight="true" outlineLevel="0" collapsed="false">
      <c r="A7" s="11" t="s">
        <v>126</v>
      </c>
      <c r="B7" s="11" t="s">
        <v>317</v>
      </c>
      <c r="C7" s="11" t="s">
        <v>318</v>
      </c>
      <c r="D7" s="11" t="s">
        <v>319</v>
      </c>
      <c r="E7" s="11" t="s">
        <v>320</v>
      </c>
      <c r="F7" s="11" t="s">
        <v>321</v>
      </c>
      <c r="G7" s="11" t="s">
        <v>322</v>
      </c>
      <c r="H7" s="11" t="n">
        <f aca="false">COUNTIF('ESTADO DEL ARTE'!I3:I29,"OE3")</f>
        <v>3</v>
      </c>
      <c r="I7" s="11" t="s">
        <v>323</v>
      </c>
    </row>
    <row r="9" customFormat="false" ht="15" hidden="false" customHeight="true" outlineLevel="0" collapsed="false">
      <c r="A9" s="14" t="s">
        <v>324</v>
      </c>
    </row>
    <row r="10" customFormat="false" ht="39.75" hidden="false" customHeight="true" outlineLevel="0" collapsed="false">
      <c r="A10" s="11" t="s">
        <v>325</v>
      </c>
      <c r="B10" s="11" t="s">
        <v>326</v>
      </c>
      <c r="C10" s="11"/>
      <c r="D10" s="11"/>
      <c r="E10" s="11"/>
      <c r="F10" s="11"/>
      <c r="G10" s="11"/>
      <c r="H10" s="11"/>
      <c r="I10" s="11"/>
    </row>
    <row r="11" customFormat="false" ht="39.75" hidden="false" customHeight="true" outlineLevel="0" collapsed="false">
      <c r="A11" s="11" t="s">
        <v>327</v>
      </c>
      <c r="B11" s="11" t="s">
        <v>328</v>
      </c>
      <c r="C11" s="11"/>
      <c r="D11" s="11"/>
      <c r="E11" s="11"/>
      <c r="F11" s="11"/>
      <c r="G11" s="11"/>
      <c r="H11" s="11"/>
      <c r="I11" s="11"/>
    </row>
    <row r="12" customFormat="false" ht="39.75" hidden="false" customHeight="true" outlineLevel="0" collapsed="false">
      <c r="A12" s="11" t="s">
        <v>329</v>
      </c>
      <c r="B12" s="11" t="s">
        <v>330</v>
      </c>
      <c r="C12" s="11"/>
      <c r="D12" s="11"/>
      <c r="E12" s="11"/>
      <c r="F12" s="11"/>
      <c r="G12" s="11"/>
      <c r="H12" s="11"/>
      <c r="I12" s="11"/>
    </row>
    <row r="13" customFormat="false" ht="39.75" hidden="false" customHeight="true" outlineLevel="0" collapsed="false">
      <c r="A13" s="11" t="s">
        <v>295</v>
      </c>
      <c r="B13" s="11" t="s">
        <v>331</v>
      </c>
      <c r="C13" s="11"/>
      <c r="D13" s="11"/>
      <c r="E13" s="11"/>
      <c r="F13" s="11"/>
      <c r="G13" s="11"/>
      <c r="H13" s="11"/>
      <c r="I13" s="11"/>
    </row>
    <row r="15" customFormat="false" ht="15" hidden="false" customHeight="true" outlineLevel="0" collapsed="false">
      <c r="A15" s="14" t="s">
        <v>332</v>
      </c>
    </row>
    <row r="16" customFormat="false" ht="36" hidden="false" customHeight="true" outlineLevel="0" collapsed="false">
      <c r="A16" s="11" t="s">
        <v>26</v>
      </c>
      <c r="B16" s="11" t="s">
        <v>333</v>
      </c>
      <c r="C16" s="11"/>
      <c r="D16" s="11"/>
      <c r="E16" s="11"/>
      <c r="F16" s="11"/>
      <c r="G16" s="11"/>
      <c r="H16" s="11"/>
      <c r="I16" s="11"/>
    </row>
    <row r="17" customFormat="false" ht="36" hidden="false" customHeight="true" outlineLevel="0" collapsed="false">
      <c r="A17" s="11" t="s">
        <v>121</v>
      </c>
      <c r="B17" s="11" t="s">
        <v>334</v>
      </c>
      <c r="C17" s="11"/>
      <c r="D17" s="11"/>
      <c r="E17" s="11"/>
      <c r="F17" s="11"/>
      <c r="G17" s="11"/>
      <c r="H17" s="11"/>
      <c r="I17" s="11"/>
    </row>
    <row r="18" customFormat="false" ht="36" hidden="false" customHeight="true" outlineLevel="0" collapsed="false">
      <c r="A18" s="11" t="s">
        <v>126</v>
      </c>
      <c r="B18" s="11" t="s">
        <v>335</v>
      </c>
      <c r="C18" s="11"/>
      <c r="D18" s="11"/>
      <c r="E18" s="11"/>
      <c r="F18" s="11"/>
      <c r="G18" s="11"/>
      <c r="H18" s="11"/>
      <c r="I18" s="11"/>
    </row>
  </sheetData>
  <mergeCells count="8">
    <mergeCell ref="A1:I1"/>
    <mergeCell ref="B10:I10"/>
    <mergeCell ref="B11:I11"/>
    <mergeCell ref="B12:I12"/>
    <mergeCell ref="B13:I13"/>
    <mergeCell ref="B16:I16"/>
    <mergeCell ref="B17:I17"/>
    <mergeCell ref="B18:I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2026-10-23T21:25:47Z</dcterms:created>
  <dc:creator>openpyxl</dc:creator>
  <dc:description/>
  <dc:language>en-US</dc:language>
  <cp:lastModifiedBy/>
  <dcterms:modified xsi:type="dcterms:W3CDTF">2026-10-23T22:13:17Z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